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35f9c9153b4435" /></Relationships>
</file>

<file path=xl/workbook.xml><?xml version="1.0" encoding="utf-8"?>
<x:workbook xmlns:x="http://schemas.openxmlformats.org/spreadsheetml/2006/main">
  <x:sheets>
    <x:sheet xmlns:r="http://schemas.openxmlformats.org/officeDocument/2006/relationships" name="Classement" sheetId="1" r:id="R9ccc8f6c6cee44af"/>
    <x:sheet xmlns:r="http://schemas.openxmlformats.org/officeDocument/2006/relationships" name="Méthode" sheetId="2" r:id="Rfd90c9857d824a6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
  </x:numFmts>
  <x:fonts count="10">
    <x:font>
      <x:sz val="11"/>
      <x:name val="Carlito"/>
    </x:font>
    <x:font>
      <x:b/>
      <x:sz val="16"/>
      <x:color rgb="FF17365D"/>
      <x:name val="Arial"/>
    </x:font>
    <x:font>
      <x:i/>
      <x:sz val="9"/>
      <x:color rgb="FF666666"/>
      <x:name val="Arial"/>
    </x:font>
    <x:font>
      <x:i/>
      <x:sz val="9"/>
      <x:color rgb="FF7F6000"/>
      <x:name val="Arial"/>
    </x:font>
    <x:font>
      <x:sz val="10"/>
      <x:color rgb="FF222222"/>
      <x:name val="Arial"/>
    </x:font>
    <x:font>
      <x:b/>
      <x:sz val="10"/>
      <x:color rgb="FFFFFFFF"/>
      <x:name val="Arial"/>
    </x:font>
    <x:font>
      <x:b/>
      <x:sz val="11"/>
      <x:color rgb="FF17365D"/>
      <x:name val="Arial"/>
    </x:font>
    <x:font>
      <x:b/>
      <x:sz val="11"/>
      <x:color rgb="FF7F6000"/>
      <x:name val="Arial"/>
    </x:font>
    <x:font>
      <x:b/>
      <x:sz val="11"/>
      <x:color rgb="FF375623"/>
      <x:name val="Arial"/>
    </x:font>
    <x:font>
      <x:sz val="11"/>
      <x:name val="Arial"/>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s>
  <x:borders count="11">
    <x:border/>
    <x:border>
      <x:bottom style="thin">
        <x:color rgb="FF1F4E78"/>
      </x:bottom>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
      <x:left style="thin">
        <x:color rgb="FFA9D18E"/>
      </x:left>
      <x:top style="thin">
        <x:color rgb="FFA9D18E"/>
      </x:top>
      <x:bottom style="thin">
        <x:color rgb="FFA9D18E"/>
      </x:bottom>
    </x:border>
    <x:border>
      <x:top style="thin">
        <x:color rgb="FFA9D18E"/>
      </x:top>
      <x:bottom style="thin">
        <x:color rgb="FFA9D18E"/>
      </x:bottom>
    </x:border>
    <x:border>
      <x:right style="thin">
        <x:color rgb="FFA9D18E"/>
      </x:right>
      <x:top style="thin">
        <x:color rgb="FFA9D18E"/>
      </x:top>
      <x:bottom style="thin">
        <x:color rgb="FFA9D18E"/>
      </x:bottom>
    </x:border>
  </x:borders>
  <x:cellStyleXfs count="1">
    <x:xf numFmtId="0" fontId="0" fillId="0" borderId="0"/>
  </x:cellStyleXfs>
  <x:cellXfs count="42">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horizontal="center" vertical="top"/>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202" fontId="4" fillId="0" borderId="0" xfId="0" applyNumberFormat="1" applyFont="1" applyFill="1" applyBorder="1" applyAlignment="1">
      <x:alignment horizontal="center" vertical="top"/>
    </x:xf>
    <x:xf numFmtId="0" fontId="4" fillId="0" borderId="0"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applyAlignment="1">
      <x:alignment horizontal="center"/>
    </x:xf>
    <x:xf numFmtId="202" fontId="4" fillId="0" borderId="0" xfId="0" applyNumberFormat="1" applyFont="1" applyFill="1" applyBorder="1"/>
    <x:xf numFmtId="0" fontId="0" fillId="3" borderId="0" xfId="0" applyNumberFormat="1" applyFont="1" applyFill="1" applyBorder="1"/>
    <x:xf numFmtId="0" fontId="6" fillId="3" borderId="0" xfId="0" applyNumberFormat="1" applyFont="1" applyFill="1" applyBorder="1"/>
    <x:xf numFmtId="0" fontId="6" fillId="3" borderId="2" xfId="0" applyNumberFormat="1" applyFont="1" applyFill="1" applyBorder="1"/>
    <x:xf numFmtId="0" fontId="6" fillId="3" borderId="3" xfId="0" applyNumberFormat="1" applyFont="1" applyFill="1" applyBorder="1"/>
    <x:xf numFmtId="0" fontId="6" fillId="3" borderId="4"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0" fontId="0" fillId="5" borderId="0" xfId="0" applyNumberFormat="1" applyFont="1" applyFill="1" applyBorder="1"/>
    <x:xf numFmtId="0" fontId="8" fillId="5" borderId="0" xfId="0" applyNumberFormat="1" applyFont="1" applyFill="1" applyBorder="1"/>
    <x:xf numFmtId="0" fontId="8" fillId="5" borderId="8" xfId="0" applyNumberFormat="1" applyFont="1" applyFill="1" applyBorder="1"/>
    <x:xf numFmtId="0" fontId="8" fillId="5" borderId="9" xfId="0" applyNumberFormat="1" applyFont="1" applyFill="1" applyBorder="1"/>
    <x:xf numFmtId="0" fontId="8" fillId="5" borderId="10" xfId="0" applyNumberFormat="1" applyFont="1" applyFill="1" applyBorder="1"/>
    <x:xf numFmtId="0" fontId="6" fillId="0"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horizontal="center"/>
    </x:xf>
    <x:xf numFmtId="0" fontId="9" fillId="0" borderId="0" xfId="0" applyNumberFormat="1" applyFont="1" applyFill="1" applyBorder="1" applyAlignment="1">
      <x:alignment horizontal="center" wrapText="1"/>
    </x:xf>
    <x:xf numFmtId="0" fontId="9" fillId="0" borderId="0" xfId="0" applyNumberFormat="1" applyFont="1" applyFill="1" applyBorder="1" applyAlignment="1">
      <x:alignment wrapText="1"/>
    </x:xf>
    <x:xf numFmtId="0" fontId="2" fillId="0" borderId="0" xfId="0" applyNumberFormat="1" applyFont="1" applyFill="1" applyBorder="1" applyAlignment="1">
      <x:alignment wrapText="1"/>
    </x:xf>
  </x:cellXfs>
  <x:cellStyles count="1">
    <x:cellStyle name="Normal" xfId="0"/>
  </x:cellStyles>
  <x:dxfs count="3">
    <x:dxf>
      <x:font>
        <x:b/>
        <x:color rgb="FF006100"/>
      </x:font>
      <x:fill>
        <x:patternFill patternType="solid">
          <x:bgColor rgb="FFC6E0B4"/>
        </x:patternFill>
      </x:fill>
    </x:dxf>
    <x:dxf>
      <x:font>
        <x:color rgb="FF666666"/>
      </x:font>
      <x:fill>
        <x:patternFill patternType="solid">
          <x:bgColor rgb="FFE7E6E6"/>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d39df81bea4964" /><Relationship Type="http://schemas.openxmlformats.org/officeDocument/2006/relationships/theme" Target="/xl/theme/theme1.xml" Id="Rba404a81e794426d" /><Relationship Type="http://schemas.openxmlformats.org/officeDocument/2006/relationships/sharedStrings" Target="/xl/sharedStrings.xml" Id="Ra8778aa04ffa4cb8" /><Relationship Type="http://schemas.openxmlformats.org/officeDocument/2006/relationships/worksheet" Target="/xl/worksheets/sheet1.xml" Id="R9ccc8f6c6cee44af" /><Relationship Type="http://schemas.openxmlformats.org/officeDocument/2006/relationships/worksheet" Target="/xl/worksheets/sheet2.xml" Id="Rfd90c9857d824a68" /></Relationships>
</file>

<file path=xl/tables/table1.xml><?xml version="1.0" encoding="utf-8"?>
<x:table xmlns:x="http://schemas.openxmlformats.org/spreadsheetml/2006/main" id="1" name="ClassementZones" displayName="ClassementZones" ref="A6:U90" headerRowCount="1" totalsRowCount="0" totalsRowShown="0">
  <x:autoFilter ref="A6:U90"/>
  <x:tableColumns count="21">
    <x:tableColumn id="1" name="Rang"/>
    <x:tableColumn id="2" name="Rang emprise"/>
    <x:tableColumn id="3" name="Secteur"/>
    <x:tableColumn id="4" name="Zone"/>
    <x:tableColumn id="5" name="Type de zone"/>
    <x:tableColumn id="6" name="Habitation standard"/>
    <x:tableColumn id="7" name="Emprise maximale"/>
    <x:tableColumn id="8" name="Règle d'emprise"/>
    <x:tableColumn id="9" name="Profil d'opération"/>
    <x:tableColumn id="10" name="Forme urbaine / usage"/>
    <x:tableColumn id="11" name="Hauteur repère"/>
    <x:tableColumn id="12" name="Contraintes principales"/>
    <x:tableColumn id="13" name="Constructibilité /30"/>
    <x:tableColumn id="14" name="Emprise /35"/>
    <x:tableColumn id="15" name="Transformabilité /15"/>
    <x:tableColumn id="16" name="Clarté /10"/>
    <x:tableColumn id="17" name="Faible contrainte /10"/>
    <x:tableColumn id="18" name="Score /100"/>
    <x:tableColumn id="19" name="Priorité"/>
    <x:tableColumn id="20" name="Contrôle préalable"/>
    <x:tableColumn id="21" name="Pages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e34b165ba84aea" /></Relationships>
</file>

<file path=xl/worksheets/sheet1.xml><?xml version="1.0" encoding="utf-8"?>
<x:worksheet xmlns:x="http://schemas.openxmlformats.org/spreadsheetml/2006/main">
  <x:sheetPr>
    <x:tabColor rgb="FF1F4E78"/>
  </x:sheetPr>
  <x:sheetViews>
    <x:sheetView showGridLines="0" workbookViewId="0">
      <x:pane xSplit="3" ySplit="6" topLeftCell="D7" activePane="bottomRight" state="frozen"/>
    </x:sheetView>
  </x:sheetViews>
  <x:sheetFormatPr defaultRowHeight="15"/>
  <x:cols>
    <x:col min="1" max="1" width="7" hidden="0" customWidth="1"/>
    <x:col min="2" max="2" width="10" hidden="0" customWidth="1"/>
    <x:col min="3" max="3" width="15" hidden="0" customWidth="1"/>
    <x:col min="4" max="4" width="8" hidden="0" customWidth="1"/>
    <x:col min="5" max="5" width="18" hidden="0" customWidth="1"/>
    <x:col min="6" max="6" width="17" hidden="0" customWidth="1"/>
    <x:col min="7" max="7" width="13" hidden="0" customWidth="1"/>
    <x:col min="8" max="8" width="38" hidden="0" customWidth="1"/>
    <x:col min="9" max="9" width="27" hidden="0" customWidth="1"/>
    <x:col min="10" max="10" width="31" hidden="0" customWidth="1"/>
    <x:col min="11" max="11" width="25" hidden="0" customWidth="1"/>
    <x:col min="12" max="12" width="38" hidden="0" customWidth="1"/>
    <x:col min="13" max="13" width="14" hidden="0" customWidth="1"/>
    <x:col min="14" max="14" width="11" hidden="0" customWidth="1"/>
    <x:col min="15" max="15" width="15" hidden="0" customWidth="1"/>
    <x:col min="16" max="16" width="10" hidden="0" customWidth="1"/>
    <x:col min="17" max="17" width="16" hidden="0" customWidth="1"/>
    <x:col min="18" max="18" width="10" hidden="0" customWidth="1"/>
    <x:col min="19" max="19" width="13" hidden="0" customWidth="1"/>
    <x:col min="20" max="20" width="40" hidden="0" customWidth="1"/>
    <x:col min="21" max="21" width="18" hidden="0" customWidth="1"/>
  </x:cols>
  <x:sheetData>
    <x:row r="2">
      <x:c r="A2" s="2" t="str">
        <x:v>Prospection foncière à Sète - classement réglementaire des zones</x:v>
      </x:c>
      <x:c r="B2" s="1"/>
      <x:c r="C2" s="1"/>
      <x:c r="D2" s="1"/>
      <x:c r="E2" s="1"/>
      <x:c r="F2" s="1"/>
      <x:c r="G2" s="1"/>
      <x:c r="H2" s="1"/>
      <x:c r="I2" s="1"/>
      <x:c r="J2" s="1"/>
      <x:c r="K2" s="1"/>
      <x:c r="L2" s="1"/>
      <x:c r="M2" s="1"/>
      <x:c r="N2" s="1"/>
      <x:c r="O2" s="1"/>
      <x:c r="P2" s="1"/>
      <x:c r="Q2" s="1"/>
      <x:c r="R2" s="1"/>
      <x:c r="S2" s="1"/>
      <x:c r="T2" s="1"/>
      <x:c r="U2" s="1"/>
    </x:row>
    <x:row r="3">
      <x:c r="A3" s="3" t="str">
        <x:v>Source : Règlement du PLU de Sète, modification n°5 du 15 décembre 2025, fichier 34301_reglement_20251215.pdf.</x:v>
      </x:c>
    </x:row>
    <x:row r="4">
      <x:c r="A4" s="4" t="str">
        <x:v>Le score mesure le potentiel réglementaire de transformation. Il n'intègre ni prix, ni demande, ni état du bâti. Toute parcelle doit être contrôlée au PLU graphique, au PPRI et aux servitudes.</x:v>
      </x:c>
      <x:c r="B4" s="4"/>
      <x:c r="C4" s="4"/>
      <x:c r="D4" s="4"/>
      <x:c r="E4" s="4"/>
      <x:c r="F4" s="4"/>
      <x:c r="G4" s="4"/>
      <x:c r="H4" s="4"/>
      <x:c r="I4" s="4"/>
      <x:c r="J4" s="4"/>
      <x:c r="K4" s="4"/>
      <x:c r="L4" s="4"/>
      <x:c r="M4" s="4"/>
      <x:c r="N4" s="4"/>
      <x:c r="O4" s="4"/>
      <x:c r="P4" s="4"/>
      <x:c r="Q4" s="4"/>
      <x:c r="R4" s="4"/>
      <x:c r="S4" s="4"/>
      <x:c r="T4" s="4"/>
      <x:c r="U4" s="4"/>
    </x:row>
    <x:row r="6" ht="42" customHeight="1">
      <x:c r="A6" s="10" t="str">
        <x:v>Rang</x:v>
      </x:c>
      <x:c r="B6" s="10" t="str">
        <x:v>Rang emprise</x:v>
      </x:c>
      <x:c r="C6" s="10" t="str">
        <x:v>Secteur</x:v>
      </x:c>
      <x:c r="D6" s="10" t="str">
        <x:v>Zone</x:v>
      </x:c>
      <x:c r="E6" s="10" t="str">
        <x:v>Type de zone</x:v>
      </x:c>
      <x:c r="F6" s="10" t="str">
        <x:v>Habitation standard</x:v>
      </x:c>
      <x:c r="G6" s="10" t="str">
        <x:v>Emprise maximale</x:v>
      </x:c>
      <x:c r="H6" s="10" t="str">
        <x:v>Règle d'emprise</x:v>
      </x:c>
      <x:c r="I6" s="10" t="str">
        <x:v>Profil d'opération</x:v>
      </x:c>
      <x:c r="J6" s="10" t="str">
        <x:v>Forme urbaine / usage</x:v>
      </x:c>
      <x:c r="K6" s="10" t="str">
        <x:v>Hauteur repère</x:v>
      </x:c>
      <x:c r="L6" s="10" t="str">
        <x:v>Contraintes principales</x:v>
      </x:c>
      <x:c r="M6" s="10" t="str">
        <x:v>Constructibilité /30</x:v>
      </x:c>
      <x:c r="N6" s="10" t="str">
        <x:v>Emprise /35</x:v>
      </x:c>
      <x:c r="O6" s="10" t="str">
        <x:v>Transformabilité /15</x:v>
      </x:c>
      <x:c r="P6" s="10" t="str">
        <x:v>Clarté /10</x:v>
      </x:c>
      <x:c r="Q6" s="10" t="str">
        <x:v>Faible contrainte /10</x:v>
      </x:c>
      <x:c r="R6" s="10" t="str">
        <x:v>Score /100</x:v>
      </x:c>
      <x:c r="S6" s="10" t="str">
        <x:v>Priorité</x:v>
      </x:c>
      <x:c r="T6" s="10" t="str">
        <x:v>Contrôle préalable</x:v>
      </x:c>
      <x:c r="U6" s="10" t="str">
        <x:v>Pages source</x:v>
      </x:c>
    </x:row>
    <x:row r="7" ht="48" customHeight="1">
      <x:c r="A7" s="16" t="n">
        <x:f>COUNTIFS($R$7:$R$90,"&gt;"&amp;R7)+COUNTIFS($R$7:R7,R7)</x:f>
        <x:v>1</x:v>
      </x:c>
      <x:c r="B7" s="16" t="n">
        <x:f>IF(ISNUMBER(G7),COUNTIFS($G$7:$G$90,"&gt;"&amp;G7)+COUNTIFS($G$7:G7,G7),"n.a.")</x:f>
        <x:v>2</x:v>
      </x:c>
      <x:c r="C7" s="13" t="str">
        <x:v>UC3</x:v>
      </x:c>
      <x:c r="D7" s="13" t="str">
        <x:v>UC</x:v>
      </x:c>
      <x:c r="E7" s="13" t="str">
        <x:v>Urbaine</x:v>
      </x:c>
      <x:c r="F7" s="13" t="str">
        <x:v>Oui</x:v>
      </x:c>
      <x:c r="G7" s="14" t="n">
        <x:v>0.85</x:v>
      </x:c>
      <x:c r="H7" s="17" t="str">
        <x:v>85 % de l'unité foncière</x:v>
      </x:c>
      <x:c r="I7" s="17" t="str">
        <x:v>Division parcellaire / petit collectif</x:v>
      </x:c>
      <x:c r="J7" s="17" t="str">
        <x:v>Groupes d'habitations et petits collectifs</x:v>
      </x:c>
      <x:c r="K7" s="17" t="str">
        <x:v>HF 12 m ; HT 14 m</x:v>
      </x:c>
      <x:c r="L7" s="17" t="str">
        <x:v>Partiellement SPR ; mixité sociale selon taille</x:v>
      </x:c>
      <x:c r="M7" s="15" t="n">
        <x:v>30</x:v>
      </x:c>
      <x:c r="N7" s="15" t="n">
        <x:v>29.75</x:v>
      </x:c>
      <x:c r="O7" s="15" t="n">
        <x:v>14</x:v>
      </x:c>
      <x:c r="P7" s="15" t="n">
        <x:v>10</x:v>
      </x:c>
      <x:c r="Q7" s="15" t="n">
        <x:v>6</x:v>
      </x:c>
      <x:c r="R7" s="15" t="n">
        <x:f>SUM(M7:Q7)</x:f>
        <x:v>89.75</x:v>
      </x:c>
      <x:c r="S7" s="11" t="str">
        <x:f>IF(F7="Non","Hors cible",IF(R7&gt;=80,"Priorité 1",IF(R7&gt;=65,"Priorité 2",IF(R7&gt;=45,"Priorité 3","À valider"))))</x:f>
        <x:v>Priorité 1</x:v>
      </x:c>
      <x:c r="T7" s="17" t="str">
        <x:v>Cible prioritaire : maisons sur grandes parcelles</x:v>
      </x:c>
      <x:c r="U7" s="17" t="str">
        <x:v>78-88 ; art. 9 p. 83</x:v>
      </x:c>
    </x:row>
    <x:row r="8" ht="48" customHeight="1">
      <x:c r="A8" s="16" t="n">
        <x:f>COUNTIFS($R$7:$R$90,"&gt;"&amp;R8)+COUNTIFS($R$7:R8,R8)</x:f>
        <x:v>2</x:v>
      </x:c>
      <x:c r="B8" s="16" t="str">
        <x:f>IF(ISNUMBER(G8),COUNTIFS($G$7:$G$90,"&gt;"&amp;G8)+COUNTIFS($G$7:G8,G8),"n.a.")</x:f>
        <x:v>n.a.</x:v>
      </x:c>
      <x:c r="C8" s="13" t="str">
        <x:v>3UB7</x:v>
      </x:c>
      <x:c r="D8" s="13" t="str">
        <x:v>3UB</x:v>
      </x:c>
      <x:c r="E8" s="13" t="str">
        <x:v>Urbaine</x:v>
      </x:c>
      <x:c r="F8" s="13" t="str">
        <x:v>Oui</x:v>
      </x:c>
      <x:c r="G8" s="14"/>
      <x:c r="H8" s="17" t="str">
        <x:v>100 % dans les 16 premiers mètres depuis le boulevard, puis 60 % du solde ; sous-sol compris</x:v>
      </x:c>
      <x:c r="I8" s="17" t="str">
        <x:v>Densification / front urbain</x:v>
      </x:c>
      <x:c r="J8" s="17" t="str">
        <x:v>Faubourg commercial des boulevards</x:v>
      </x:c>
      <x:c r="K8" s="17" t="str">
        <x:v>Règles sectorielles</x:v>
      </x:c>
      <x:c r="L8" s="17" t="str">
        <x:v>Formule géométrique ; profondeur de parcelle déterminante</x:v>
      </x:c>
      <x:c r="M8" s="15" t="n">
        <x:v>30</x:v>
      </x:c>
      <x:c r="N8" s="15" t="n">
        <x:v>31</x:v>
      </x:c>
      <x:c r="O8" s="15" t="n">
        <x:v>13</x:v>
      </x:c>
      <x:c r="P8" s="15" t="n">
        <x:v>8</x:v>
      </x:c>
      <x:c r="Q8" s="15" t="n">
        <x:v>7</x:v>
      </x:c>
      <x:c r="R8" s="15" t="n">
        <x:f>SUM(M8:Q8)</x:f>
        <x:v>89</x:v>
      </x:c>
      <x:c r="S8" s="11" t="str">
        <x:f>IF(F8="Non","Hors cible",IF(R8&gt;=80,"Priorité 1",IF(R8&gt;=65,"Priorité 2",IF(R8&gt;=45,"Priorité 3","À valider"))))</x:f>
        <x:v>Priorité 1</x:v>
      </x:c>
      <x:c r="T8" s="17" t="str">
        <x:v>Calculer les surfaces dans et hors bande de 16 m au SIG</x:v>
      </x:c>
      <x:c r="U8" s="17" t="str">
        <x:v>64-77 ; art. 9 p. 71</x:v>
      </x:c>
    </x:row>
    <x:row r="9" ht="48" customHeight="1">
      <x:c r="A9" s="16" t="n">
        <x:f>COUNTIFS($R$7:$R$90,"&gt;"&amp;R9)+COUNTIFS($R$7:R9,R9)</x:f>
        <x:v>3</x:v>
      </x:c>
      <x:c r="B9" s="16" t="n">
        <x:f>IF(ISNUMBER(G9),COUNTIFS($G$7:$G$90,"&gt;"&amp;G9)+COUNTIFS($G$7:G9,G9),"n.a.")</x:f>
        <x:v>1</x:v>
      </x:c>
      <x:c r="C9" s="13" t="str">
        <x:v>UA5</x:v>
      </x:c>
      <x:c r="D9" s="13" t="str">
        <x:v>UA</x:v>
      </x:c>
      <x:c r="E9" s="13" t="str">
        <x:v>Urbaine</x:v>
      </x:c>
      <x:c r="F9" s="13" t="str">
        <x:v>Oui</x:v>
      </x:c>
      <x:c r="G9" s="14" t="n">
        <x:v>1</x:v>
      </x:c>
      <x:c r="H9" s="17" t="str">
        <x:v>100 % de l'unité foncière</x:v>
      </x:c>
      <x:c r="I9" s="17" t="str">
        <x:v>Division bâtie / reconstruction</x:v>
      </x:c>
      <x:c r="J9" s="17" t="str">
        <x:v>Pointe Courte, petites maisons de pêcheurs</x:v>
      </x:c>
      <x:c r="K9" s="17" t="str">
        <x:v>Deux niveaux au plus ; HF 6 m ; HT 7 m</x:v>
      </x:c>
      <x:c r="L9" s="17" t="str">
        <x:v>SPR ; mitoyenneté et alignement</x:v>
      </x:c>
      <x:c r="M9" s="15" t="n">
        <x:v>30</x:v>
      </x:c>
      <x:c r="N9" s="15" t="n">
        <x:v>35</x:v>
      </x:c>
      <x:c r="O9" s="15" t="n">
        <x:v>10</x:v>
      </x:c>
      <x:c r="P9" s="15" t="n">
        <x:v>10</x:v>
      </x:c>
      <x:c r="Q9" s="15" t="n">
        <x:v>3</x:v>
      </x:c>
      <x:c r="R9" s="15" t="n">
        <x:f>SUM(M9:Q9)</x:f>
        <x:v>88</x:v>
      </x:c>
      <x:c r="S9" s="11" t="str">
        <x:f>IF(F9="Non","Hors cible",IF(R9&gt;=80,"Priorité 1",IF(R9&gt;=65,"Priorité 2",IF(R9&gt;=45,"Priorité 3","À valider"))))</x:f>
        <x:v>Priorité 1</x:v>
      </x:c>
      <x:c r="T9" s="17" t="str">
        <x:v>Privilégier division de volume et restructuration</x:v>
      </x:c>
      <x:c r="U9" s="17" t="str">
        <x:v>16-25 ; art. 9 p. 21</x:v>
      </x:c>
    </x:row>
    <x:row r="10" ht="48" customHeight="1">
      <x:c r="A10" s="16" t="n">
        <x:f>COUNTIFS($R$7:$R$90,"&gt;"&amp;R10)+COUNTIFS($R$7:R10,R10)</x:f>
        <x:v>4</x:v>
      </x:c>
      <x:c r="B10" s="16" t="n">
        <x:f>IF(ISNUMBER(G10),COUNTIFS($G$7:$G$90,"&gt;"&amp;G10)+COUNTIFS($G$7:G10,G10),"n.a.")</x:f>
        <x:v>6</x:v>
      </x:c>
      <x:c r="C10" s="13" t="str">
        <x:v>UA2</x:v>
      </x:c>
      <x:c r="D10" s="13" t="str">
        <x:v>UA</x:v>
      </x:c>
      <x:c r="E10" s="13" t="str">
        <x:v>Urbaine</x:v>
      </x:c>
      <x:c r="F10" s="13" t="str">
        <x:v>Oui</x:v>
      </x:c>
      <x:c r="G10" s="14" t="n">
        <x:v>0.75</x:v>
      </x:c>
      <x:c r="H10" s="17" t="str">
        <x:v>75 % de l'unité foncière</x:v>
      </x:c>
      <x:c r="I10" s="17" t="str">
        <x:v>Réhabilitation / extension</x:v>
      </x:c>
      <x:c r="J10" s="17" t="str">
        <x:v>Grangettes, trame serrée</x:v>
      </x:c>
      <x:c r="K10" s="17" t="str">
        <x:v>HF 6 m ; HT 7 m</x:v>
      </x:c>
      <x:c r="L10" s="17" t="str">
        <x:v>Alignement imposé ; PPRI à vérifier</x:v>
      </x:c>
      <x:c r="M10" s="15" t="n">
        <x:v>30</x:v>
      </x:c>
      <x:c r="N10" s="15" t="n">
        <x:v>26.25</x:v>
      </x:c>
      <x:c r="O10" s="15" t="n">
        <x:v>13</x:v>
      </x:c>
      <x:c r="P10" s="15" t="n">
        <x:v>10</x:v>
      </x:c>
      <x:c r="Q10" s="15" t="n">
        <x:v>8</x:v>
      </x:c>
      <x:c r="R10" s="15" t="n">
        <x:f>SUM(M10:Q10)</x:f>
        <x:v>87.25</x:v>
      </x:c>
      <x:c r="S10" s="11" t="str">
        <x:f>IF(F10="Non","Hors cible",IF(R10&gt;=80,"Priorité 1",IF(R10&gt;=65,"Priorité 2",IF(R10&gt;=45,"Priorité 3","À valider"))))</x:f>
        <x:v>Priorité 1</x:v>
      </x:c>
      <x:c r="T10" s="17" t="str">
        <x:v>Tester extension arrière et division de volume</x:v>
      </x:c>
      <x:c r="U10" s="17" t="str">
        <x:v>16-25 ; art. 9 p. 20-21</x:v>
      </x:c>
    </x:row>
    <x:row r="11" ht="48" customHeight="1">
      <x:c r="A11" s="16" t="n">
        <x:f>COUNTIFS($R$7:$R$90,"&gt;"&amp;R11)+COUNTIFS($R$7:R11,R11)</x:f>
        <x:v>5</x:v>
      </x:c>
      <x:c r="B11" s="16" t="n">
        <x:f>IF(ISNUMBER(G11),COUNTIFS($G$7:$G$90,"&gt;"&amp;G11)+COUNTIFS($G$7:G11,G11),"n.a.")</x:f>
        <x:v>7</x:v>
      </x:c>
      <x:c r="C11" s="13" t="str">
        <x:v>UA3</x:v>
      </x:c>
      <x:c r="D11" s="13" t="str">
        <x:v>UA</x:v>
      </x:c>
      <x:c r="E11" s="13" t="str">
        <x:v>Urbaine</x:v>
      </x:c>
      <x:c r="F11" s="13" t="str">
        <x:v>Oui</x:v>
      </x:c>
      <x:c r="G11" s="14" t="n">
        <x:v>0.75</x:v>
      </x:c>
      <x:c r="H11" s="17" t="str">
        <x:v>75 % de l'unité foncière</x:v>
      </x:c>
      <x:c r="I11" s="17" t="str">
        <x:v>Réhabilitation / extension</x:v>
      </x:c>
      <x:c r="J11" s="17" t="str">
        <x:v>Barrou, habitat dense bas</x:v>
      </x:c>
      <x:c r="K11" s="17" t="str">
        <x:v>HF 6 m ; HT 7 m</x:v>
      </x:c>
      <x:c r="L11" s="17" t="str">
        <x:v>Trame serrée ; PPRI à vérifier</x:v>
      </x:c>
      <x:c r="M11" s="15" t="n">
        <x:v>30</x:v>
      </x:c>
      <x:c r="N11" s="15" t="n">
        <x:v>26.25</x:v>
      </x:c>
      <x:c r="O11" s="15" t="n">
        <x:v>13</x:v>
      </x:c>
      <x:c r="P11" s="15" t="n">
        <x:v>10</x:v>
      </x:c>
      <x:c r="Q11" s="15" t="n">
        <x:v>8</x:v>
      </x:c>
      <x:c r="R11" s="15" t="n">
        <x:f>SUM(M11:Q11)</x:f>
        <x:v>87.25</x:v>
      </x:c>
      <x:c r="S11" s="11" t="str">
        <x:f>IF(F11="Non","Hors cible",IF(R11&gt;=80,"Priorité 1",IF(R11&gt;=65,"Priorité 2",IF(R11&gt;=45,"Priorité 3","À valider"))))</x:f>
        <x:v>Priorité 1</x:v>
      </x:c>
      <x:c r="T11" s="17" t="str">
        <x:v>Cibler maisons avec cour, garage ou grande profondeur</x:v>
      </x:c>
      <x:c r="U11" s="17" t="str">
        <x:v>16-25 ; art. 9 p. 20-21</x:v>
      </x:c>
    </x:row>
    <x:row r="12" ht="48" customHeight="1">
      <x:c r="A12" s="16" t="n">
        <x:f>COUNTIFS($R$7:$R$90,"&gt;"&amp;R12)+COUNTIFS($R$7:R12,R12)</x:f>
        <x:v>6</x:v>
      </x:c>
      <x:c r="B12" s="16" t="n">
        <x:f>IF(ISNUMBER(G12),COUNTIFS($G$7:$G$90,"&gt;"&amp;G12)+COUNTIFS($G$7:G12,G12),"n.a.")</x:f>
        <x:v>8</x:v>
      </x:c>
      <x:c r="C12" s="13" t="str">
        <x:v>UC4d</x:v>
      </x:c>
      <x:c r="D12" s="13" t="str">
        <x:v>UC</x:v>
      </x:c>
      <x:c r="E12" s="13" t="str">
        <x:v>Urbaine</x:v>
      </x:c>
      <x:c r="F12" s="13" t="str">
        <x:v>Oui</x:v>
      </x:c>
      <x:c r="G12" s="14" t="n">
        <x:v>0.75</x:v>
      </x:c>
      <x:c r="H12" s="17" t="str">
        <x:v>75 % de l'unité foncière</x:v>
      </x:c>
      <x:c r="I12" s="17" t="str">
        <x:v>Densification / collectif</x:v>
      </x:c>
      <x:c r="J12" s="17" t="str">
        <x:v>Secteur collectif de densité élevée</x:v>
      </x:c>
      <x:c r="K12" s="17" t="str">
        <x:v>Règles sectorielles</x:v>
      </x:c>
      <x:c r="L12" s="17" t="str">
        <x:v>Mixité sociale selon taille</x:v>
      </x:c>
      <x:c r="M12" s="15" t="n">
        <x:v>30</x:v>
      </x:c>
      <x:c r="N12" s="15" t="n">
        <x:v>26.25</x:v>
      </x:c>
      <x:c r="O12" s="15" t="n">
        <x:v>13</x:v>
      </x:c>
      <x:c r="P12" s="15" t="n">
        <x:v>10</x:v>
      </x:c>
      <x:c r="Q12" s="15" t="n">
        <x:v>8</x:v>
      </x:c>
      <x:c r="R12" s="15" t="n">
        <x:f>SUM(M12:Q12)</x:f>
        <x:v>87.25</x:v>
      </x:c>
      <x:c r="S12" s="11" t="str">
        <x:f>IF(F12="Non","Hors cible",IF(R12&gt;=80,"Priorité 1",IF(R12&gt;=65,"Priorité 2",IF(R12&gt;=45,"Priorité 3","À valider"))))</x:f>
        <x:v>Priorité 1</x:v>
      </x:c>
      <x:c r="T12" s="17" t="str">
        <x:v>Cibler parcelles sous-bâties et maisons résiduelles</x:v>
      </x:c>
      <x:c r="U12" s="17" t="str">
        <x:v>78-88 ; art. 9 p. 83</x:v>
      </x:c>
    </x:row>
    <x:row r="13" ht="48" customHeight="1">
      <x:c r="A13" s="16" t="n">
        <x:f>COUNTIFS($R$7:$R$90,"&gt;"&amp;R13)+COUNTIFS($R$7:R13,R13)</x:f>
        <x:v>7</x:v>
      </x:c>
      <x:c r="B13" s="16" t="n">
        <x:f>IF(ISNUMBER(G13),COUNTIFS($G$7:$G$90,"&gt;"&amp;G13)+COUNTIFS($G$7:G13,G13),"n.a.")</x:f>
        <x:v>9</x:v>
      </x:c>
      <x:c r="C13" s="13" t="str">
        <x:v>3UB2</x:v>
      </x:c>
      <x:c r="D13" s="13" t="str">
        <x:v>3UB</x:v>
      </x:c>
      <x:c r="E13" s="13" t="str">
        <x:v>Urbaine</x:v>
      </x:c>
      <x:c r="F13" s="13" t="str">
        <x:v>Oui</x:v>
      </x:c>
      <x:c r="G13" s="14" t="n">
        <x:v>0.75</x:v>
      </x:c>
      <x:c r="H13" s="17" t="str">
        <x:v>75 % de l'unité foncière</x:v>
      </x:c>
      <x:c r="I13" s="17" t="str">
        <x:v>Densification / reconstruction</x:v>
      </x:c>
      <x:c r="J13" s="17" t="str">
        <x:v>Corridor boulevard de Verdun</x:v>
      </x:c>
      <x:c r="K13" s="17" t="str">
        <x:v>HF 16,5/13,5 m ; HT 19/16 m</x:v>
      </x:c>
      <x:c r="L13" s="17" t="str">
        <x:v>Bande de 16 m ; mixité sociale selon taille</x:v>
      </x:c>
      <x:c r="M13" s="15" t="n">
        <x:v>30</x:v>
      </x:c>
      <x:c r="N13" s="15" t="n">
        <x:v>26.25</x:v>
      </x:c>
      <x:c r="O13" s="15" t="n">
        <x:v>13</x:v>
      </x:c>
      <x:c r="P13" s="15" t="n">
        <x:v>10</x:v>
      </x:c>
      <x:c r="Q13" s="15" t="n">
        <x:v>7</x:v>
      </x:c>
      <x:c r="R13" s="15" t="n">
        <x:f>SUM(M13:Q13)</x:f>
        <x:v>86.25</x:v>
      </x:c>
      <x:c r="S13" s="11" t="str">
        <x:f>IF(F13="Non","Hors cible",IF(R13&gt;=80,"Priorité 1",IF(R13&gt;=65,"Priorité 2",IF(R13&gt;=45,"Priorité 3","À valider"))))</x:f>
        <x:v>Priorité 1</x:v>
      </x:c>
      <x:c r="T13" s="17" t="str">
        <x:v>Cibler grandes maisons et parcelles mutables sur boulevard</x:v>
      </x:c>
      <x:c r="U13" s="17" t="str">
        <x:v>64-77 ; art. 9 p. 71</x:v>
      </x:c>
    </x:row>
    <x:row r="14" ht="48" customHeight="1">
      <x:c r="A14" s="16" t="n">
        <x:f>COUNTIFS($R$7:$R$90,"&gt;"&amp;R14)+COUNTIFS($R$7:R14,R14)</x:f>
        <x:v>8</x:v>
      </x:c>
      <x:c r="B14" s="16" t="n">
        <x:f>IF(ISNUMBER(G14),COUNTIFS($G$7:$G$90,"&gt;"&amp;G14)+COUNTIFS($G$7:G14,G14),"n.a.")</x:f>
        <x:v>10</x:v>
      </x:c>
      <x:c r="C14" s="13" t="str">
        <x:v>3UB3</x:v>
      </x:c>
      <x:c r="D14" s="13" t="str">
        <x:v>3UB</x:v>
      </x:c>
      <x:c r="E14" s="13" t="str">
        <x:v>Urbaine</x:v>
      </x:c>
      <x:c r="F14" s="13" t="str">
        <x:v>Oui</x:v>
      </x:c>
      <x:c r="G14" s="14" t="n">
        <x:v>0.75</x:v>
      </x:c>
      <x:c r="H14" s="17" t="str">
        <x:v>75 % de l'unité foncière</x:v>
      </x:c>
      <x:c r="I14" s="17" t="str">
        <x:v>Densification / reconstruction</x:v>
      </x:c>
      <x:c r="J14" s="17" t="str">
        <x:v>Boulevard de Verdun, collectifs</x:v>
      </x:c>
      <x:c r="K14" s="17" t="str">
        <x:v>HF 16,5/13,5 m ; HT 19/16 m</x:v>
      </x:c>
      <x:c r="L14" s="17" t="str">
        <x:v>Recul préférentiel de 5 m</x:v>
      </x:c>
      <x:c r="M14" s="15" t="n">
        <x:v>30</x:v>
      </x:c>
      <x:c r="N14" s="15" t="n">
        <x:v>26.25</x:v>
      </x:c>
      <x:c r="O14" s="15" t="n">
        <x:v>13</x:v>
      </x:c>
      <x:c r="P14" s="15" t="n">
        <x:v>10</x:v>
      </x:c>
      <x:c r="Q14" s="15" t="n">
        <x:v>7</x:v>
      </x:c>
      <x:c r="R14" s="15" t="n">
        <x:f>SUM(M14:Q14)</x:f>
        <x:v>86.25</x:v>
      </x:c>
      <x:c r="S14" s="11" t="str">
        <x:f>IF(F14="Non","Hors cible",IF(R14&gt;=80,"Priorité 1",IF(R14&gt;=65,"Priorité 2",IF(R14&gt;=45,"Priorité 3","À valider"))))</x:f>
        <x:v>Priorité 1</x:v>
      </x:c>
      <x:c r="T14" s="17" t="str">
        <x:v>Cibler dents creuses et maisons sur grands terrains</x:v>
      </x:c>
      <x:c r="U14" s="17" t="str">
        <x:v>64-77 ; art. 9 p. 71</x:v>
      </x:c>
    </x:row>
    <x:row r="15" ht="48" customHeight="1">
      <x:c r="A15" s="16" t="n">
        <x:f>COUNTIFS($R$7:$R$90,"&gt;"&amp;R15)+COUNTIFS($R$7:R15,R15)</x:f>
        <x:v>9</x:v>
      </x:c>
      <x:c r="B15" s="16" t="n">
        <x:f>IF(ISNUMBER(G15),COUNTIFS($G$7:$G$90,"&gt;"&amp;G15)+COUNTIFS($G$7:G15,G15),"n.a.")</x:f>
        <x:v>11</x:v>
      </x:c>
      <x:c r="C15" s="13" t="str">
        <x:v>UA1</x:v>
      </x:c>
      <x:c r="D15" s="13" t="str">
        <x:v>UA</x:v>
      </x:c>
      <x:c r="E15" s="13" t="str">
        <x:v>Urbaine</x:v>
      </x:c>
      <x:c r="F15" s="13" t="str">
        <x:v>Oui</x:v>
      </x:c>
      <x:c r="G15" s="14" t="n">
        <x:v>0.75</x:v>
      </x:c>
      <x:c r="H15" s="17" t="str">
        <x:v>75 % de l'unité foncière</x:v>
      </x:c>
      <x:c r="I15" s="17" t="str">
        <x:v>Réhabilitation / division bâtie</x:v>
      </x:c>
      <x:c r="J15" s="17" t="str">
        <x:v>Village de pêcheurs, trame serrée</x:v>
      </x:c>
      <x:c r="K15" s="17" t="str">
        <x:v>HF 6 m ; HT 7 m</x:v>
      </x:c>
      <x:c r="L15" s="17" t="str">
        <x:v>Implantation dense ; PPRI et servitudes à vérifier</x:v>
      </x:c>
      <x:c r="M15" s="15" t="n">
        <x:v>30</x:v>
      </x:c>
      <x:c r="N15" s="15" t="n">
        <x:v>26.25</x:v>
      </x:c>
      <x:c r="O15" s="15" t="n">
        <x:v>12</x:v>
      </x:c>
      <x:c r="P15" s="15" t="n">
        <x:v>10</x:v>
      </x:c>
      <x:c r="Q15" s="15" t="n">
        <x:v>7</x:v>
      </x:c>
      <x:c r="R15" s="15" t="n">
        <x:f>SUM(M15:Q15)</x:f>
        <x:v>85.25</x:v>
      </x:c>
      <x:c r="S15" s="11" t="str">
        <x:f>IF(F15="Non","Hors cible",IF(R15&gt;=80,"Priorité 1",IF(R15&gt;=65,"Priorité 2",IF(R15&gt;=45,"Priorité 3","À valider"))))</x:f>
        <x:v>Priorité 1</x:v>
      </x:c>
      <x:c r="T15" s="17" t="str">
        <x:v>Vérifier accès, stationnement, PPRI et état du bâti</x:v>
      </x:c>
      <x:c r="U15" s="17" t="str">
        <x:v>16-25 ; art. 9 p. 20-21</x:v>
      </x:c>
    </x:row>
    <x:row r="16" ht="48" customHeight="1">
      <x:c r="A16" s="16" t="n">
        <x:f>COUNTIFS($R$7:$R$90,"&gt;"&amp;R16)+COUNTIFS($R$7:R16,R16)</x:f>
        <x:v>10</x:v>
      </x:c>
      <x:c r="B16" s="16" t="str">
        <x:f>IF(ISNUMBER(G16),COUNTIFS($G$7:$G$90,"&gt;"&amp;G16)+COUNTIFS($G$7:G16,G16),"n.a.")</x:f>
        <x:v>n.a.</x:v>
      </x:c>
      <x:c r="C16" s="13" t="str">
        <x:v>UA5a recul</x:v>
      </x:c>
      <x:c r="D16" s="13" t="str">
        <x:v>UA</x:v>
      </x:c>
      <x:c r="E16" s="13" t="str">
        <x:v>Urbaine</x:v>
      </x:c>
      <x:c r="F16" s="13" t="str">
        <x:v>Oui</x:v>
      </x:c>
      <x:c r="G16" s="14"/>
      <x:c r="H16" s="17" t="str">
        <x:v>Emprise non réglementée si construction en recul</x:v>
      </x:c>
      <x:c r="I16" s="17" t="str">
        <x:v>Extension / reconstruction</x:v>
      </x:c>
      <x:c r="J16" s="17" t="str">
        <x:v>Sous-secteur Pointe Courte</x:v>
      </x:c>
      <x:c r="K16" s="17" t="str">
        <x:v>Deux niveaux au plus ; HF 6 m ; HT 7 m</x:v>
      </x:c>
      <x:c r="L16" s="17" t="str">
        <x:v>SPR ; recul et autres articles limitants</x:v>
      </x:c>
      <x:c r="M16" s="15" t="n">
        <x:v>30</x:v>
      </x:c>
      <x:c r="N16" s="15" t="n">
        <x:v>35</x:v>
      </x:c>
      <x:c r="O16" s="15" t="n">
        <x:v>10</x:v>
      </x:c>
      <x:c r="P16" s="15" t="n">
        <x:v>7</x:v>
      </x:c>
      <x:c r="Q16" s="15" t="n">
        <x:v>3</x:v>
      </x:c>
      <x:c r="R16" s="15" t="n">
        <x:f>SUM(M16:Q16)</x:f>
        <x:v>85</x:v>
      </x:c>
      <x:c r="S16" s="11" t="str">
        <x:f>IF(F16="Non","Hors cible",IF(R16&gt;=80,"Priorité 1",IF(R16&gt;=65,"Priorité 2",IF(R16&gt;=45,"Priorité 3","À valider"))))</x:f>
        <x:v>Priorité 1</x:v>
      </x:c>
      <x:c r="T16" s="17" t="str">
        <x:v>Calculer l'enveloppe avec articles 6, 7, 10 et SPR</x:v>
      </x:c>
      <x:c r="U16" s="17" t="str">
        <x:v>16-25 ; art. 9 p. 21</x:v>
      </x:c>
    </x:row>
    <x:row r="17" ht="48" customHeight="1">
      <x:c r="A17" s="16" t="n">
        <x:f>COUNTIFS($R$7:$R$90,"&gt;"&amp;R17)+COUNTIFS($R$7:R17,R17)</x:f>
        <x:v>11</x:v>
      </x:c>
      <x:c r="B17" s="16" t="n">
        <x:f>IF(ISNUMBER(G17),COUNTIFS($G$7:$G$90,"&gt;"&amp;G17)+COUNTIFS($G$7:G17,G17),"n.a.")</x:f>
        <x:v>3</x:v>
      </x:c>
      <x:c r="C17" s="13" t="str">
        <x:v>1UB2</x:v>
      </x:c>
      <x:c r="D17" s="13" t="str">
        <x:v>1UB</x:v>
      </x:c>
      <x:c r="E17" s="13" t="str">
        <x:v>Urbaine</x:v>
      </x:c>
      <x:c r="F17" s="13" t="str">
        <x:v>Oui</x:v>
      </x:c>
      <x:c r="G17" s="14" t="n">
        <x:v>0.85</x:v>
      </x:c>
      <x:c r="H17" s="17" t="str">
        <x:v>85 % de l'unité foncière</x:v>
      </x:c>
      <x:c r="I17" s="17" t="str">
        <x:v>Division bâtie / reconstruction</x:v>
      </x:c>
      <x:c r="J17" s="17" t="str">
        <x:v>Cœur d'agglomération</x:v>
      </x:c>
      <x:c r="K17" s="17" t="str">
        <x:v>HF 16,5/13,5 m ; HT 19/16 m selon bande de 16 m</x:v>
      </x:c>
      <x:c r="L17" s="17" t="str">
        <x:v>SPR majoritaire ; mixité sociale dès 10 logements</x:v>
      </x:c>
      <x:c r="M17" s="15" t="n">
        <x:v>30</x:v>
      </x:c>
      <x:c r="N17" s="15" t="n">
        <x:v>29.75</x:v>
      </x:c>
      <x:c r="O17" s="15" t="n">
        <x:v>12</x:v>
      </x:c>
      <x:c r="P17" s="15" t="n">
        <x:v>10</x:v>
      </x:c>
      <x:c r="Q17" s="15" t="n">
        <x:v>3</x:v>
      </x:c>
      <x:c r="R17" s="15" t="n">
        <x:f>SUM(M17:Q17)</x:f>
        <x:v>84.75</x:v>
      </x:c>
      <x:c r="S17" s="11" t="str">
        <x:f>IF(F17="Non","Hors cible",IF(R17&gt;=80,"Priorité 1",IF(R17&gt;=65,"Priorité 2",IF(R17&gt;=45,"Priorité 3","À valider"))))</x:f>
        <x:v>Priorité 1</x:v>
      </x:c>
      <x:c r="T17" s="17" t="str">
        <x:v>Tester changement de destination, division et surélévation</x:v>
      </x:c>
      <x:c r="U17" s="17" t="str">
        <x:v>26-39 ; art. 9 p. 31</x:v>
      </x:c>
    </x:row>
    <x:row r="18" ht="48" customHeight="1">
      <x:c r="A18" s="16" t="n">
        <x:f>COUNTIFS($R$7:$R$90,"&gt;"&amp;R18)+COUNTIFS($R$7:R18,R18)</x:f>
        <x:v>12</x:v>
      </x:c>
      <x:c r="B18" s="16" t="n">
        <x:f>IF(ISNUMBER(G18),COUNTIFS($G$7:$G$90,"&gt;"&amp;G18)+COUNTIFS($G$7:G18,G18),"n.a.")</x:f>
        <x:v>12</x:v>
      </x:c>
      <x:c r="C18" s="13" t="str">
        <x:v>1UB5</x:v>
      </x:c>
      <x:c r="D18" s="13" t="str">
        <x:v>1UB</x:v>
      </x:c>
      <x:c r="E18" s="13" t="str">
        <x:v>Urbaine</x:v>
      </x:c>
      <x:c r="F18" s="13" t="str">
        <x:v>Oui</x:v>
      </x:c>
      <x:c r="G18" s="14" t="n">
        <x:v>0.75</x:v>
      </x:c>
      <x:c r="H18" s="17" t="str">
        <x:v>75 % de l'unité foncière</x:v>
      </x:c>
      <x:c r="I18" s="17" t="str">
        <x:v>Division bâtie / mixité</x:v>
      </x:c>
      <x:c r="J18" s="17" t="str">
        <x:v>Centralité secondaire de la Corniche</x:v>
      </x:c>
      <x:c r="K18" s="17" t="str">
        <x:v>Règles de hauteur sectorielles</x:v>
      </x:c>
      <x:c r="L18" s="17" t="str">
        <x:v>Partiellement SPR ; commerce sous conditions</x:v>
      </x:c>
      <x:c r="M18" s="15" t="n">
        <x:v>30</x:v>
      </x:c>
      <x:c r="N18" s="15" t="n">
        <x:v>26.25</x:v>
      </x:c>
      <x:c r="O18" s="15" t="n">
        <x:v>12</x:v>
      </x:c>
      <x:c r="P18" s="15" t="n">
        <x:v>10</x:v>
      </x:c>
      <x:c r="Q18" s="15" t="n">
        <x:v>6</x:v>
      </x:c>
      <x:c r="R18" s="15" t="n">
        <x:f>SUM(M18:Q18)</x:f>
        <x:v>84.25</x:v>
      </x:c>
      <x:c r="S18" s="11" t="str">
        <x:f>IF(F18="Non","Hors cible",IF(R18&gt;=80,"Priorité 1",IF(R18&gt;=65,"Priorité 2",IF(R18&gt;=45,"Priorité 3","À valider"))))</x:f>
        <x:v>Priorité 1</x:v>
      </x:c>
      <x:c r="T18" s="17" t="str">
        <x:v>Cibler maisons mixtes et parcelles avec dépendances</x:v>
      </x:c>
      <x:c r="U18" s="17" t="str">
        <x:v>26-39 ; art. 9 p. 31</x:v>
      </x:c>
    </x:row>
    <x:row r="19" ht="48" customHeight="1">
      <x:c r="A19" s="16" t="n">
        <x:f>COUNTIFS($R$7:$R$90,"&gt;"&amp;R19)+COUNTIFS($R$7:R19,R19)</x:f>
        <x:v>13</x:v>
      </x:c>
      <x:c r="B19" s="16" t="n">
        <x:f>IF(ISNUMBER(G19),COUNTIFS($G$7:$G$90,"&gt;"&amp;G19)+COUNTIFS($G$7:G19,G19),"n.a.")</x:f>
        <x:v>4</x:v>
      </x:c>
      <x:c r="C19" s="13" t="str">
        <x:v>1UB1</x:v>
      </x:c>
      <x:c r="D19" s="13" t="str">
        <x:v>1UB</x:v>
      </x:c>
      <x:c r="E19" s="13" t="str">
        <x:v>Urbaine</x:v>
      </x:c>
      <x:c r="F19" s="13" t="str">
        <x:v>Oui</x:v>
      </x:c>
      <x:c r="G19" s="14" t="n">
        <x:v>0.85</x:v>
      </x:c>
      <x:c r="H19" s="17" t="str">
        <x:v>85 % de l'unité foncière</x:v>
      </x:c>
      <x:c r="I19" s="17" t="str">
        <x:v>Division bâtie / restructuration</x:v>
      </x:c>
      <x:c r="J19" s="17" t="str">
        <x:v>Centre ancien continu</x:v>
      </x:c>
      <x:c r="K19" s="17" t="str">
        <x:v>HF 10 m sur 16 m puis 6 m ; HT 12,5/8,5 m</x:v>
      </x:c>
      <x:c r="L19" s="17" t="str">
        <x:v>SPR quasi généralisé</x:v>
      </x:c>
      <x:c r="M19" s="15" t="n">
        <x:v>30</x:v>
      </x:c>
      <x:c r="N19" s="15" t="n">
        <x:v>29.75</x:v>
      </x:c>
      <x:c r="O19" s="15" t="n">
        <x:v>11</x:v>
      </x:c>
      <x:c r="P19" s="15" t="n">
        <x:v>10</x:v>
      </x:c>
      <x:c r="Q19" s="15" t="n">
        <x:v>3</x:v>
      </x:c>
      <x:c r="R19" s="15" t="n">
        <x:f>SUM(M19:Q19)</x:f>
        <x:v>83.75</x:v>
      </x:c>
      <x:c r="S19" s="11" t="str">
        <x:f>IF(F19="Non","Hors cible",IF(R19&gt;=80,"Priorité 1",IF(R19&gt;=65,"Priorité 2",IF(R19&gt;=45,"Priorité 3","À valider"))))</x:f>
        <x:v>Priorité 1</x:v>
      </x:c>
      <x:c r="T19" s="17" t="str">
        <x:v>Étudier immeubles et grandes maisons plutôt que terrain nu</x:v>
      </x:c>
      <x:c r="U19" s="17" t="str">
        <x:v>26-39 ; art. 9 p. 31</x:v>
      </x:c>
    </x:row>
    <x:row r="20" ht="48" customHeight="1">
      <x:c r="A20" s="16" t="n">
        <x:f>COUNTIFS($R$7:$R$90,"&gt;"&amp;R20)+COUNTIFS($R$7:R20,R20)</x:f>
        <x:v>14</x:v>
      </x:c>
      <x:c r="B20" s="16" t="n">
        <x:f>IF(ISNUMBER(G20),COUNTIFS($G$7:$G$90,"&gt;"&amp;G20)+COUNTIFS($G$7:G20,G20),"n.a.")</x:f>
        <x:v>13</x:v>
      </x:c>
      <x:c r="C20" s="13" t="str">
        <x:v>1UB3</x:v>
      </x:c>
      <x:c r="D20" s="13" t="str">
        <x:v>1UB</x:v>
      </x:c>
      <x:c r="E20" s="13" t="str">
        <x:v>Urbaine</x:v>
      </x:c>
      <x:c r="F20" s="13" t="str">
        <x:v>Oui</x:v>
      </x:c>
      <x:c r="G20" s="14" t="n">
        <x:v>0.75</x:v>
      </x:c>
      <x:c r="H20" s="17" t="str">
        <x:v>75 % de l'unité foncière</x:v>
      </x:c>
      <x:c r="I20" s="17" t="str">
        <x:v>Division bâtie / densification</x:v>
      </x:c>
      <x:c r="J20" s="17" t="str">
        <x:v>Proche cœur d'agglomération</x:v>
      </x:c>
      <x:c r="K20" s="17" t="str">
        <x:v>Règles de hauteur sectorielles</x:v>
      </x:c>
      <x:c r="L20" s="17" t="str">
        <x:v>Majoritairement SPR ; mixité sociale selon taille</x:v>
      </x:c>
      <x:c r="M20" s="15" t="n">
        <x:v>30</x:v>
      </x:c>
      <x:c r="N20" s="15" t="n">
        <x:v>26.25</x:v>
      </x:c>
      <x:c r="O20" s="15" t="n">
        <x:v>12</x:v>
      </x:c>
      <x:c r="P20" s="15" t="n">
        <x:v>10</x:v>
      </x:c>
      <x:c r="Q20" s="15" t="n">
        <x:v>5</x:v>
      </x:c>
      <x:c r="R20" s="15" t="n">
        <x:f>SUM(M20:Q20)</x:f>
        <x:v>83.25</x:v>
      </x:c>
      <x:c r="S20" s="11" t="str">
        <x:f>IF(F20="Non","Hors cible",IF(R20&gt;=80,"Priorité 1",IF(R20&gt;=65,"Priorité 2",IF(R20&gt;=45,"Priorité 3","À valider"))))</x:f>
        <x:v>Priorité 1</x:v>
      </x:c>
      <x:c r="T20" s="17" t="str">
        <x:v>Cibler parcelles profondes et bâtiments sous-exploités</x:v>
      </x:c>
      <x:c r="U20" s="17" t="str">
        <x:v>26-39 ; art. 9 p. 31</x:v>
      </x:c>
    </x:row>
    <x:row r="21" ht="48" customHeight="1">
      <x:c r="A21" s="16" t="n">
        <x:f>COUNTIFS($R$7:$R$90,"&gt;"&amp;R21)+COUNTIFS($R$7:R21,R21)</x:f>
        <x:v>15</x:v>
      </x:c>
      <x:c r="B21" s="16" t="n">
        <x:f>IF(ISNUMBER(G21),COUNTIFS($G$7:$G$90,"&gt;"&amp;G21)+COUNTIFS($G$7:G21,G21),"n.a.")</x:f>
        <x:v>14</x:v>
      </x:c>
      <x:c r="C21" s="13" t="str">
        <x:v>UA4</x:v>
      </x:c>
      <x:c r="D21" s="13" t="str">
        <x:v>UA</x:v>
      </x:c>
      <x:c r="E21" s="13" t="str">
        <x:v>Urbaine</x:v>
      </x:c>
      <x:c r="F21" s="13" t="str">
        <x:v>Oui</x:v>
      </x:c>
      <x:c r="G21" s="14" t="n">
        <x:v>0.75</x:v>
      </x:c>
      <x:c r="H21" s="17" t="str">
        <x:v>75 % de l'unité foncière</x:v>
      </x:c>
      <x:c r="I21" s="17" t="str">
        <x:v>Réhabilitation / division bâtie</x:v>
      </x:c>
      <x:c r="J21" s="17" t="str">
        <x:v>Plagette, habitat dense bas</x:v>
      </x:c>
      <x:c r="K21" s="17" t="str">
        <x:v>HF 6 m ; HT 7 m</x:v>
      </x:c>
      <x:c r="L21" s="17" t="str">
        <x:v>Partiellement SPR</x:v>
      </x:c>
      <x:c r="M21" s="15" t="n">
        <x:v>30</x:v>
      </x:c>
      <x:c r="N21" s="15" t="n">
        <x:v>26.25</x:v>
      </x:c>
      <x:c r="O21" s="15" t="n">
        <x:v>11</x:v>
      </x:c>
      <x:c r="P21" s="15" t="n">
        <x:v>10</x:v>
      </x:c>
      <x:c r="Q21" s="15" t="n">
        <x:v>5</x:v>
      </x:c>
      <x:c r="R21" s="15" t="n">
        <x:f>SUM(M21:Q21)</x:f>
        <x:v>82.25</x:v>
      </x:c>
      <x:c r="S21" s="11" t="str">
        <x:f>IF(F21="Non","Hors cible",IF(R21&gt;=80,"Priorité 1",IF(R21&gt;=65,"Priorité 2",IF(R21&gt;=45,"Priorité 3","À valider"))))</x:f>
        <x:v>Priorité 1</x:v>
      </x:c>
      <x:c r="T21" s="17" t="str">
        <x:v>Consulter SPR avant chiffrage travaux</x:v>
      </x:c>
      <x:c r="U21" s="17" t="str">
        <x:v>16-25 ; art. 9 p. 20-21</x:v>
      </x:c>
    </x:row>
    <x:row r="22" ht="48" customHeight="1">
      <x:c r="A22" s="16" t="n">
        <x:f>COUNTIFS($R$7:$R$90,"&gt;"&amp;R22)+COUNTIFS($R$7:R22,R22)</x:f>
        <x:v>16</x:v>
      </x:c>
      <x:c r="B22" s="16" t="n">
        <x:f>IF(ISNUMBER(G22),COUNTIFS($G$7:$G$90,"&gt;"&amp;G22)+COUNTIFS($G$7:G22,G22),"n.a.")</x:f>
        <x:v>18</x:v>
      </x:c>
      <x:c r="C22" s="13" t="str">
        <x:v>UC4a</x:v>
      </x:c>
      <x:c r="D22" s="13" t="str">
        <x:v>UC</x:v>
      </x:c>
      <x:c r="E22" s="13" t="str">
        <x:v>Urbaine</x:v>
      </x:c>
      <x:c r="F22" s="13" t="str">
        <x:v>Oui</x:v>
      </x:c>
      <x:c r="G22" s="14" t="n">
        <x:v>0.5</x:v>
      </x:c>
      <x:c r="H22" s="17" t="str">
        <x:v>50 % de l'unité foncière</x:v>
      </x:c>
      <x:c r="I22" s="17" t="str">
        <x:v>Division parcellaire / extension</x:v>
      </x:c>
      <x:c r="J22" s="17" t="str">
        <x:v>Habitat groupé et petits collectifs</x:v>
      </x:c>
      <x:c r="K22" s="17" t="str">
        <x:v>HF 13 m ; HT 15 m</x:v>
      </x:c>
      <x:c r="L22" s="17" t="str">
        <x:v>Pleine terre 40 %</x:v>
      </x:c>
      <x:c r="M22" s="15" t="n">
        <x:v>30</x:v>
      </x:c>
      <x:c r="N22" s="15" t="n">
        <x:v>17.5</x:v>
      </x:c>
      <x:c r="O22" s="15" t="n">
        <x:v>15</x:v>
      </x:c>
      <x:c r="P22" s="15" t="n">
        <x:v>10</x:v>
      </x:c>
      <x:c r="Q22" s="15" t="n">
        <x:v>8</x:v>
      </x:c>
      <x:c r="R22" s="15" t="n">
        <x:f>SUM(M22:Q22)</x:f>
        <x:v>80.5</x:v>
      </x:c>
      <x:c r="S22" s="11" t="str">
        <x:f>IF(F22="Non","Hors cible",IF(R22&gt;=80,"Priorité 1",IF(R22&gt;=65,"Priorité 2",IF(R22&gt;=45,"Priorité 3","À valider"))))</x:f>
        <x:v>Priorité 1</x:v>
      </x:c>
      <x:c r="T22" s="17" t="str">
        <x:v>Cibler maisons avec grand jardin et accès divisible</x:v>
      </x:c>
      <x:c r="U22" s="17" t="str">
        <x:v>78-88 ; art. 9 p. 83</x:v>
      </x:c>
    </x:row>
    <x:row r="23" ht="48" customHeight="1">
      <x:c r="A23" s="16" t="n">
        <x:f>COUNTIFS($R$7:$R$90,"&gt;"&amp;R23)+COUNTIFS($R$7:R23,R23)</x:f>
        <x:v>17</x:v>
      </x:c>
      <x:c r="B23" s="16" t="n">
        <x:f>IF(ISNUMBER(G23),COUNTIFS($G$7:$G$90,"&gt;"&amp;G23)+COUNTIFS($G$7:G23,G23),"n.a.")</x:f>
        <x:v>19</x:v>
      </x:c>
      <x:c r="C23" s="13" t="str">
        <x:v>UC4b</x:v>
      </x:c>
      <x:c r="D23" s="13" t="str">
        <x:v>UC</x:v>
      </x:c>
      <x:c r="E23" s="13" t="str">
        <x:v>Urbaine</x:v>
      </x:c>
      <x:c r="F23" s="13" t="str">
        <x:v>Oui</x:v>
      </x:c>
      <x:c r="G23" s="14" t="n">
        <x:v>0.5</x:v>
      </x:c>
      <x:c r="H23" s="17" t="str">
        <x:v>50 % de l'unité foncière</x:v>
      </x:c>
      <x:c r="I23" s="17" t="str">
        <x:v>Division parcellaire / extension</x:v>
      </x:c>
      <x:c r="J23" s="17" t="str">
        <x:v>Habitat groupé et petits collectifs</x:v>
      </x:c>
      <x:c r="K23" s="17" t="str">
        <x:v>HF 16 m ; HT 19 m</x:v>
      </x:c>
      <x:c r="L23" s="17" t="str">
        <x:v>Pleine terre 40 %</x:v>
      </x:c>
      <x:c r="M23" s="15" t="n">
        <x:v>30</x:v>
      </x:c>
      <x:c r="N23" s="15" t="n">
        <x:v>17.5</x:v>
      </x:c>
      <x:c r="O23" s="15" t="n">
        <x:v>15</x:v>
      </x:c>
      <x:c r="P23" s="15" t="n">
        <x:v>10</x:v>
      </x:c>
      <x:c r="Q23" s="15" t="n">
        <x:v>8</x:v>
      </x:c>
      <x:c r="R23" s="15" t="n">
        <x:f>SUM(M23:Q23)</x:f>
        <x:v>80.5</x:v>
      </x:c>
      <x:c r="S23" s="11" t="str">
        <x:f>IF(F23="Non","Hors cible",IF(R23&gt;=80,"Priorité 1",IF(R23&gt;=65,"Priorité 2",IF(R23&gt;=45,"Priorité 3","À valider"))))</x:f>
        <x:v>Priorité 1</x:v>
      </x:c>
      <x:c r="T23" s="17" t="str">
        <x:v>Fort potentiel si accès et stationnement possibles</x:v>
      </x:c>
      <x:c r="U23" s="17" t="str">
        <x:v>78-88 ; art. 9 p. 83</x:v>
      </x:c>
    </x:row>
    <x:row r="24" ht="48" customHeight="1">
      <x:c r="A24" s="16" t="n">
        <x:f>COUNTIFS($R$7:$R$90,"&gt;"&amp;R24)+COUNTIFS($R$7:R24,R24)</x:f>
        <x:v>18</x:v>
      </x:c>
      <x:c r="B24" s="16" t="n">
        <x:f>IF(ISNUMBER(G24),COUNTIFS($G$7:$G$90,"&gt;"&amp;G24)+COUNTIFS($G$7:G24,G24),"n.a.")</x:f>
        <x:v>20</x:v>
      </x:c>
      <x:c r="C24" s="13" t="str">
        <x:v>UD4</x:v>
      </x:c>
      <x:c r="D24" s="13" t="str">
        <x:v>UD</x:v>
      </x:c>
      <x:c r="E24" s="13" t="str">
        <x:v>Urbaine</x:v>
      </x:c>
      <x:c r="F24" s="13" t="str">
        <x:v>Oui</x:v>
      </x:c>
      <x:c r="G24" s="14" t="n">
        <x:v>0.5</x:v>
      </x:c>
      <x:c r="H24" s="17" t="str">
        <x:v>50 % + piscine : majoration de 8 % du terrain, plafonnée à 40 m²</x:v>
      </x:c>
      <x:c r="I24" s="17" t="str">
        <x:v>Maison / division parcellaire</x:v>
      </x:c>
      <x:c r="J24" s="17" t="str">
        <x:v>Pavillonnaire de très forte densité</x:v>
      </x:c>
      <x:c r="K24" s="17" t="str">
        <x:v>HF 6 m ; HT 7,5 m</x:v>
      </x:c>
      <x:c r="L24" s="17" t="str">
        <x:v>Partiellement SPR ; accès/retraits</x:v>
      </x:c>
      <x:c r="M24" s="15" t="n">
        <x:v>30</x:v>
      </x:c>
      <x:c r="N24" s="15" t="n">
        <x:v>17.5</x:v>
      </x:c>
      <x:c r="O24" s="15" t="n">
        <x:v>15</x:v>
      </x:c>
      <x:c r="P24" s="15" t="n">
        <x:v>10</x:v>
      </x:c>
      <x:c r="Q24" s="15" t="n">
        <x:v>7</x:v>
      </x:c>
      <x:c r="R24" s="15" t="n">
        <x:f>SUM(M24:Q24)</x:f>
        <x:v>79.5</x:v>
      </x:c>
      <x:c r="S24" s="11" t="str">
        <x:f>IF(F24="Non","Hors cible",IF(R24&gt;=80,"Priorité 1",IF(R24&gt;=65,"Priorité 2",IF(R24&gt;=45,"Priorité 3","À valider"))))</x:f>
        <x:v>Priorité 2</x:v>
      </x:c>
      <x:c r="T24" s="17" t="str">
        <x:v>Cible prioritaire pour maisons et divisions foncières</x:v>
      </x:c>
      <x:c r="U24" s="17" t="str">
        <x:v>89-101 ; art. 9 p. 95</x:v>
      </x:c>
    </x:row>
    <x:row r="25" ht="48" customHeight="1">
      <x:c r="A25" s="16" t="n">
        <x:f>COUNTIFS($R$7:$R$90,"&gt;"&amp;R25)+COUNTIFS($R$7:R25,R25)</x:f>
        <x:v>19</x:v>
      </x:c>
      <x:c r="B25" s="16" t="n">
        <x:f>IF(ISNUMBER(G25),COUNTIFS($G$7:$G$90,"&gt;"&amp;G25)+COUNTIFS($G$7:G25,G25),"n.a.")</x:f>
        <x:v>5</x:v>
      </x:c>
      <x:c r="C25" s="13" t="str">
        <x:v>UA5a alignement</x:v>
      </x:c>
      <x:c r="D25" s="13" t="str">
        <x:v>UA</x:v>
      </x:c>
      <x:c r="E25" s="13" t="str">
        <x:v>Urbaine</x:v>
      </x:c>
      <x:c r="F25" s="13" t="str">
        <x:v>Oui</x:v>
      </x:c>
      <x:c r="G25" s="14" t="n">
        <x:v>0.8</x:v>
      </x:c>
      <x:c r="H25" s="17" t="str">
        <x:v>80 % si construction à l'alignement</x:v>
      </x:c>
      <x:c r="I25" s="17" t="str">
        <x:v>Réhabilitation / reconstruction</x:v>
      </x:c>
      <x:c r="J25" s="17" t="str">
        <x:v>Sous-secteur Pointe Courte</x:v>
      </x:c>
      <x:c r="K25" s="17" t="str">
        <x:v>Deux niveaux au plus ; HF 6 m ; HT 7 m</x:v>
      </x:c>
      <x:c r="L25" s="17" t="str">
        <x:v>SPR ; règle conditionnée à l'implantation</x:v>
      </x:c>
      <x:c r="M25" s="15" t="n">
        <x:v>30</x:v>
      </x:c>
      <x:c r="N25" s="15" t="n">
        <x:v>28</x:v>
      </x:c>
      <x:c r="O25" s="15" t="n">
        <x:v>10</x:v>
      </x:c>
      <x:c r="P25" s="15" t="n">
        <x:v>8</x:v>
      </x:c>
      <x:c r="Q25" s="15" t="n">
        <x:v>3</x:v>
      </x:c>
      <x:c r="R25" s="15" t="n">
        <x:f>SUM(M25:Q25)</x:f>
        <x:v>79</x:v>
      </x:c>
      <x:c r="S25" s="11" t="str">
        <x:f>IF(F25="Non","Hors cible",IF(R25&gt;=80,"Priorité 1",IF(R25&gt;=65,"Priorité 2",IF(R25&gt;=45,"Priorité 3","À valider"))))</x:f>
        <x:v>Priorité 2</x:v>
      </x:c>
      <x:c r="T25" s="17" t="str">
        <x:v>Comparer implantation actuelle et projetée</x:v>
      </x:c>
      <x:c r="U25" s="17" t="str">
        <x:v>16-25 ; art. 9 p. 21</x:v>
      </x:c>
    </x:row>
    <x:row r="26" ht="48" customHeight="1">
      <x:c r="A26" s="16" t="n">
        <x:f>COUNTIFS($R$7:$R$90,"&gt;"&amp;R26)+COUNTIFS($R$7:R26,R26)</x:f>
        <x:v>20</x:v>
      </x:c>
      <x:c r="B26" s="16" t="n">
        <x:f>IF(ISNUMBER(G26),COUNTIFS($G$7:$G$90,"&gt;"&amp;G26)+COUNTIFS($G$7:G26,G26),"n.a.")</x:f>
        <x:v>21</x:v>
      </x:c>
      <x:c r="C26" s="13" t="str">
        <x:v>3UB4</x:v>
      </x:c>
      <x:c r="D26" s="13" t="str">
        <x:v>3UB</x:v>
      </x:c>
      <x:c r="E26" s="13" t="str">
        <x:v>Urbaine</x:v>
      </x:c>
      <x:c r="F26" s="13" t="str">
        <x:v>Oui</x:v>
      </x:c>
      <x:c r="G26" s="14" t="n">
        <x:v>0.5</x:v>
      </x:c>
      <x:c r="H26" s="17" t="str">
        <x:v>50 % de l'unité foncière, sous-sol compris</x:v>
      </x:c>
      <x:c r="I26" s="17" t="str">
        <x:v>Division parcellaire / densification</x:v>
      </x:c>
      <x:c r="J26" s="17" t="str">
        <x:v>Proximité hôpital, boulevard Camille Blanc</x:v>
      </x:c>
      <x:c r="K26" s="17" t="str">
        <x:v>Règles sectorielles</x:v>
      </x:c>
      <x:c r="L26" s="17" t="str">
        <x:v>Retraits et pleine terre de 40 %</x:v>
      </x:c>
      <x:c r="M26" s="15" t="n">
        <x:v>30</x:v>
      </x:c>
      <x:c r="N26" s="15" t="n">
        <x:v>17.5</x:v>
      </x:c>
      <x:c r="O26" s="15" t="n">
        <x:v>13</x:v>
      </x:c>
      <x:c r="P26" s="15" t="n">
        <x:v>10</x:v>
      </x:c>
      <x:c r="Q26" s="15" t="n">
        <x:v>8</x:v>
      </x:c>
      <x:c r="R26" s="15" t="n">
        <x:f>SUM(M26:Q26)</x:f>
        <x:v>78.5</x:v>
      </x:c>
      <x:c r="S26" s="11" t="str">
        <x:f>IF(F26="Non","Hors cible",IF(R26&gt;=80,"Priorité 1",IF(R26&gt;=65,"Priorité 2",IF(R26&gt;=45,"Priorité 3","À valider"))))</x:f>
        <x:v>Priorité 2</x:v>
      </x:c>
      <x:c r="T26" s="17" t="str">
        <x:v>Cibler grandes unités foncières</x:v>
      </x:c>
      <x:c r="U26" s="17" t="str">
        <x:v>64-77 ; art. 9 p. 71</x:v>
      </x:c>
    </x:row>
    <x:row r="27" ht="48" customHeight="1">
      <x:c r="A27" s="16" t="n">
        <x:f>COUNTIFS($R$7:$R$90,"&gt;"&amp;R27)+COUNTIFS($R$7:R27,R27)</x:f>
        <x:v>21</x:v>
      </x:c>
      <x:c r="B27" s="16" t="n">
        <x:f>IF(ISNUMBER(G27),COUNTIFS($G$7:$G$90,"&gt;"&amp;G27)+COUNTIFS($G$7:G27,G27),"n.a.")</x:f>
        <x:v>22</x:v>
      </x:c>
      <x:c r="C27" s="13" t="str">
        <x:v>3UB8</x:v>
      </x:c>
      <x:c r="D27" s="13" t="str">
        <x:v>3UB</x:v>
      </x:c>
      <x:c r="E27" s="13" t="str">
        <x:v>Urbaine</x:v>
      </x:c>
      <x:c r="F27" s="13" t="str">
        <x:v>Oui</x:v>
      </x:c>
      <x:c r="G27" s="14" t="n">
        <x:v>0.5</x:v>
      </x:c>
      <x:c r="H27" s="17" t="str">
        <x:v>50 % de l'unité foncière, sous-sol compris</x:v>
      </x:c>
      <x:c r="I27" s="17" t="str">
        <x:v>Densification contextualisée</x:v>
      </x:c>
      <x:c r="J27" s="17" t="str">
        <x:v>Boulevard Camille Blanc</x:v>
      </x:c>
      <x:c r="K27" s="17" t="str">
        <x:v>Règles sectorielles</x:v>
      </x:c>
      <x:c r="L27" s="17" t="str">
        <x:v>Pleine terre 40 %</x:v>
      </x:c>
      <x:c r="M27" s="15" t="n">
        <x:v>30</x:v>
      </x:c>
      <x:c r="N27" s="15" t="n">
        <x:v>17.5</x:v>
      </x:c>
      <x:c r="O27" s="15" t="n">
        <x:v>13</x:v>
      </x:c>
      <x:c r="P27" s="15" t="n">
        <x:v>10</x:v>
      </x:c>
      <x:c r="Q27" s="15" t="n">
        <x:v>8</x:v>
      </x:c>
      <x:c r="R27" s="15" t="n">
        <x:f>SUM(M27:Q27)</x:f>
        <x:v>78.5</x:v>
      </x:c>
      <x:c r="S27" s="11" t="str">
        <x:f>IF(F27="Non","Hors cible",IF(R27&gt;=80,"Priorité 1",IF(R27&gt;=65,"Priorité 2",IF(R27&gt;=45,"Priorité 3","À valider"))))</x:f>
        <x:v>Priorité 2</x:v>
      </x:c>
      <x:c r="T27" s="17" t="str">
        <x:v>Cibler maisons mutables et grands fonds</x:v>
      </x:c>
      <x:c r="U27" s="17" t="str">
        <x:v>64-77 ; art. 9 p. 71</x:v>
      </x:c>
    </x:row>
    <x:row r="28" ht="48" customHeight="1">
      <x:c r="A28" s="16" t="n">
        <x:f>COUNTIFS($R$7:$R$90,"&gt;"&amp;R28)+COUNTIFS($R$7:R28,R28)</x:f>
        <x:v>22</x:v>
      </x:c>
      <x:c r="B28" s="16" t="n">
        <x:f>IF(ISNUMBER(G28),COUNTIFS($G$7:$G$90,"&gt;"&amp;G28)+COUNTIFS($G$7:G28,G28),"n.a.")</x:f>
        <x:v>29</x:v>
      </x:c>
      <x:c r="C28" s="13" t="str">
        <x:v>UV2</x:v>
      </x:c>
      <x:c r="D28" s="13" t="str">
        <x:v>UV</x:v>
      </x:c>
      <x:c r="E28" s="13" t="str">
        <x:v>Urbaine</x:v>
      </x:c>
      <x:c r="F28" s="13" t="str">
        <x:v>Oui</x:v>
      </x:c>
      <x:c r="G28" s="14" t="n">
        <x:v>0.4</x:v>
      </x:c>
      <x:c r="H28" s="17" t="str">
        <x:v>40 % de l'unité foncière</x:v>
      </x:c>
      <x:c r="I28" s="17" t="str">
        <x:v>Maison groupée / division</x:v>
      </x:c>
      <x:c r="J28" s="17" t="str">
        <x:v>Pavillonnaire groupé ZAC de Villeroy</x:v>
      </x:c>
      <x:c r="K28" s="17" t="str">
        <x:v>12 m NGF</x:v>
      </x:c>
      <x:c r="L28" s="17" t="str">
        <x:v>ZAC ; stationnement et accès</x:v>
      </x:c>
      <x:c r="M28" s="15" t="n">
        <x:v>30</x:v>
      </x:c>
      <x:c r="N28" s="15" t="n">
        <x:v>14</x:v>
      </x:c>
      <x:c r="O28" s="15" t="n">
        <x:v>15</x:v>
      </x:c>
      <x:c r="P28" s="15" t="n">
        <x:v>10</x:v>
      </x:c>
      <x:c r="Q28" s="15" t="n">
        <x:v>8</x:v>
      </x:c>
      <x:c r="R28" s="15" t="n">
        <x:f>SUM(M28:Q28)</x:f>
        <x:v>77</x:v>
      </x:c>
      <x:c r="S28" s="11" t="str">
        <x:f>IF(F28="Non","Hors cible",IF(R28&gt;=80,"Priorité 1",IF(R28&gt;=65,"Priorité 2",IF(R28&gt;=45,"Priorité 3","À valider"))))</x:f>
        <x:v>Priorité 2</x:v>
      </x:c>
      <x:c r="T28" s="17" t="str">
        <x:v>Cibler maisons avec terrain divisible</x:v>
      </x:c>
      <x:c r="U28" s="17" t="str">
        <x:v>102-112 ; art. 9 p. 107</x:v>
      </x:c>
    </x:row>
    <x:row r="29" ht="48" customHeight="1">
      <x:c r="A29" s="16" t="n">
        <x:f>COUNTIFS($R$7:$R$90,"&gt;"&amp;R29)+COUNTIFS($R$7:R29,R29)</x:f>
        <x:v>23</x:v>
      </x:c>
      <x:c r="B29" s="16" t="n">
        <x:f>IF(ISNUMBER(G29),COUNTIFS($G$7:$G$90,"&gt;"&amp;G29)+COUNTIFS($G$7:G29,G29),"n.a.")</x:f>
        <x:v>30</x:v>
      </x:c>
      <x:c r="C29" s="13" t="str">
        <x:v>UV3</x:v>
      </x:c>
      <x:c r="D29" s="13" t="str">
        <x:v>UV</x:v>
      </x:c>
      <x:c r="E29" s="13" t="str">
        <x:v>Urbaine</x:v>
      </x:c>
      <x:c r="F29" s="13" t="str">
        <x:v>Oui</x:v>
      </x:c>
      <x:c r="G29" s="14" t="n">
        <x:v>0.4</x:v>
      </x:c>
      <x:c r="H29" s="17" t="str">
        <x:v>40 % de l'unité foncière</x:v>
      </x:c>
      <x:c r="I29" s="17" t="str">
        <x:v>Maison libre / division</x:v>
      </x:c>
      <x:c r="J29" s="17" t="str">
        <x:v>Pavillonnaire libre ZAC de Villeroy</x:v>
      </x:c>
      <x:c r="K29" s="17" t="str">
        <x:v>10 m NGF</x:v>
      </x:c>
      <x:c r="L29" s="17" t="str">
        <x:v>ZAC ; recul de 25 m depuis route d'Agde</x:v>
      </x:c>
      <x:c r="M29" s="15" t="n">
        <x:v>30</x:v>
      </x:c>
      <x:c r="N29" s="15" t="n">
        <x:v>14</x:v>
      </x:c>
      <x:c r="O29" s="15" t="n">
        <x:v>15</x:v>
      </x:c>
      <x:c r="P29" s="15" t="n">
        <x:v>10</x:v>
      </x:c>
      <x:c r="Q29" s="15" t="n">
        <x:v>8</x:v>
      </x:c>
      <x:c r="R29" s="15" t="n">
        <x:f>SUM(M29:Q29)</x:f>
        <x:v>77</x:v>
      </x:c>
      <x:c r="S29" s="11" t="str">
        <x:f>IF(F29="Non","Hors cible",IF(R29&gt;=80,"Priorité 1",IF(R29&gt;=65,"Priorité 2",IF(R29&gt;=45,"Priorité 3","À valider"))))</x:f>
        <x:v>Priorité 2</x:v>
      </x:c>
      <x:c r="T29" s="17" t="str">
        <x:v>Bon segment si accès et recul laissent une enveloppe utile</x:v>
      </x:c>
      <x:c r="U29" s="17" t="str">
        <x:v>102-112 ; art. 9 p. 107</x:v>
      </x:c>
    </x:row>
    <x:row r="30" ht="48" customHeight="1">
      <x:c r="A30" s="16" t="n">
        <x:f>COUNTIFS($R$7:$R$90,"&gt;"&amp;R30)+COUNTIFS($R$7:R30,R30)</x:f>
        <x:v>24</x:v>
      </x:c>
      <x:c r="B30" s="16" t="n">
        <x:f>IF(ISNUMBER(G30),COUNTIFS($G$7:$G$90,"&gt;"&amp;G30)+COUNTIFS($G$7:G30,G30),"n.a.")</x:f>
        <x:v>23</x:v>
      </x:c>
      <x:c r="C30" s="13" t="str">
        <x:v>UC4c</x:v>
      </x:c>
      <x:c r="D30" s="13" t="str">
        <x:v>UC</x:v>
      </x:c>
      <x:c r="E30" s="13" t="str">
        <x:v>Urbaine</x:v>
      </x:c>
      <x:c r="F30" s="13" t="str">
        <x:v>Oui</x:v>
      </x:c>
      <x:c r="G30" s="14" t="n">
        <x:v>0.5</x:v>
      </x:c>
      <x:c r="H30" s="17" t="str">
        <x:v>50 % de l'unité foncière</x:v>
      </x:c>
      <x:c r="I30" s="17" t="str">
        <x:v>Densification / collectif</x:v>
      </x:c>
      <x:c r="J30" s="17" t="str">
        <x:v>Secteur collectif dense</x:v>
      </x:c>
      <x:c r="K30" s="17" t="str">
        <x:v>HF 16 m ; HT 19 m</x:v>
      </x:c>
      <x:c r="L30" s="17" t="str">
        <x:v>Partiellement SPR ; pleine terre 40 %</x:v>
      </x:c>
      <x:c r="M30" s="15" t="n">
        <x:v>30</x:v>
      </x:c>
      <x:c r="N30" s="15" t="n">
        <x:v>17.5</x:v>
      </x:c>
      <x:c r="O30" s="15" t="n">
        <x:v>13</x:v>
      </x:c>
      <x:c r="P30" s="15" t="n">
        <x:v>10</x:v>
      </x:c>
      <x:c r="Q30" s="15" t="n">
        <x:v>6</x:v>
      </x:c>
      <x:c r="R30" s="15" t="n">
        <x:f>SUM(M30:Q30)</x:f>
        <x:v>76.5</x:v>
      </x:c>
      <x:c r="S30" s="11" t="str">
        <x:f>IF(F30="Non","Hors cible",IF(R30&gt;=80,"Priorité 1",IF(R30&gt;=65,"Priorité 2",IF(R30&gt;=45,"Priorité 3","À valider"))))</x:f>
        <x:v>Priorité 2</x:v>
      </x:c>
      <x:c r="T30" s="17" t="str">
        <x:v>Cibler foncier mutable, pas seulement maison individuelle</x:v>
      </x:c>
      <x:c r="U30" s="17" t="str">
        <x:v>78-88 ; art. 9 p. 83</x:v>
      </x:c>
    </x:row>
    <x:row r="31" ht="48" customHeight="1">
      <x:c r="A31" s="16" t="n">
        <x:f>COUNTIFS($R$7:$R$90,"&gt;"&amp;R31)+COUNTIFS($R$7:R31,R31)</x:f>
        <x:v>25</x:v>
      </x:c>
      <x:c r="B31" s="16" t="n">
        <x:f>IF(ISNUMBER(G31),COUNTIFS($G$7:$G$90,"&gt;"&amp;G31)+COUNTIFS($G$7:G31,G31),"n.a.")</x:f>
        <x:v>15</x:v>
      </x:c>
      <x:c r="C31" s="13" t="str">
        <x:v>3UB1</x:v>
      </x:c>
      <x:c r="D31" s="13" t="str">
        <x:v>3UB</x:v>
      </x:c>
      <x:c r="E31" s="13" t="str">
        <x:v>Urbaine</x:v>
      </x:c>
      <x:c r="F31" s="13" t="str">
        <x:v>Conditionnelle</x:v>
      </x:c>
      <x:c r="G31" s="14" t="n">
        <x:v>0.75</x:v>
      </x:c>
      <x:c r="H31" s="17" t="str">
        <x:v>75 % de l'unité foncière</x:v>
      </x:c>
      <x:c r="I31" s="17" t="str">
        <x:v>Renouvellement urbain</x:v>
      </x:c>
      <x:c r="J31" s="17" t="str">
        <x:v>PEM, habitat/équipements/activités</x:v>
      </x:c>
      <x:c r="K31" s="17" t="str">
        <x:v>24 m</x:v>
      </x:c>
      <x:c r="L31" s="17" t="str">
        <x:v>SPR ; OAP n°1</x:v>
      </x:c>
      <x:c r="M31" s="15" t="n">
        <x:v>25</x:v>
      </x:c>
      <x:c r="N31" s="15" t="n">
        <x:v>26.25</x:v>
      </x:c>
      <x:c r="O31" s="15" t="n">
        <x:v>10</x:v>
      </x:c>
      <x:c r="P31" s="15" t="n">
        <x:v>10</x:v>
      </x:c>
      <x:c r="Q31" s="15" t="n">
        <x:v>3</x:v>
      </x:c>
      <x:c r="R31" s="15" t="n">
        <x:f>SUM(M31:Q31)</x:f>
        <x:v>74.25</x:v>
      </x:c>
      <x:c r="S31" s="11" t="str">
        <x:f>IF(F31="Non","Hors cible",IF(R31&gt;=80,"Priorité 1",IF(R31&gt;=65,"Priorité 2",IF(R31&gt;=45,"Priorité 3","À valider"))))</x:f>
        <x:v>Priorité 2</x:v>
      </x:c>
      <x:c r="T31" s="17" t="str">
        <x:v>Vérifier OAP et faisabilité d'opération d'ensemble</x:v>
      </x:c>
      <x:c r="U31" s="17" t="str">
        <x:v>64-77 ; art. 9 p. 70-71</x:v>
      </x:c>
    </x:row>
    <x:row r="32" ht="48" customHeight="1">
      <x:c r="A32" s="16" t="n">
        <x:f>COUNTIFS($R$7:$R$90,"&gt;"&amp;R32)+COUNTIFS($R$7:R32,R32)</x:f>
        <x:v>26</x:v>
      </x:c>
      <x:c r="B32" s="16" t="n">
        <x:f>IF(ISNUMBER(G32),COUNTIFS($G$7:$G$90,"&gt;"&amp;G32)+COUNTIFS($G$7:G32,G32),"n.a.")</x:f>
        <x:v>24</x:v>
      </x:c>
      <x:c r="C32" s="13" t="str">
        <x:v>3UB6</x:v>
      </x:c>
      <x:c r="D32" s="13" t="str">
        <x:v>3UB</x:v>
      </x:c>
      <x:c r="E32" s="13" t="str">
        <x:v>Urbaine</x:v>
      </x:c>
      <x:c r="F32" s="13" t="str">
        <x:v>Oui</x:v>
      </x:c>
      <x:c r="G32" s="14" t="n">
        <x:v>0.5</x:v>
      </x:c>
      <x:c r="H32" s="17" t="str">
        <x:v>50 % de l'unité foncière, sous-sol compris</x:v>
      </x:c>
      <x:c r="I32" s="17" t="str">
        <x:v>Densification encadrée</x:v>
      </x:c>
      <x:c r="J32" s="17" t="str">
        <x:v>Entrée Est, vues vers l'étang</x:v>
      </x:c>
      <x:c r="K32" s="17" t="str">
        <x:v>Règles sectorielles</x:v>
      </x:c>
      <x:c r="L32" s="17" t="str">
        <x:v>Enjeux paysagers ; pleine terre 40 %</x:v>
      </x:c>
      <x:c r="M32" s="15" t="n">
        <x:v>28</x:v>
      </x:c>
      <x:c r="N32" s="15" t="n">
        <x:v>17.5</x:v>
      </x:c>
      <x:c r="O32" s="15" t="n">
        <x:v>12</x:v>
      </x:c>
      <x:c r="P32" s="15" t="n">
        <x:v>10</x:v>
      </x:c>
      <x:c r="Q32" s="15" t="n">
        <x:v>6</x:v>
      </x:c>
      <x:c r="R32" s="15" t="n">
        <x:f>SUM(M32:Q32)</x:f>
        <x:v>73.5</x:v>
      </x:c>
      <x:c r="S32" s="11" t="str">
        <x:f>IF(F32="Non","Hors cible",IF(R32&gt;=80,"Priorité 1",IF(R32&gt;=65,"Priorité 2",IF(R32&gt;=45,"Priorité 3","À valider"))))</x:f>
        <x:v>Priorité 2</x:v>
      </x:c>
      <x:c r="T32" s="17" t="str">
        <x:v>Étude paysagère et vues avant valorisation</x:v>
      </x:c>
      <x:c r="U32" s="17" t="str">
        <x:v>64-77 ; art. 9 p. 71</x:v>
      </x:c>
    </x:row>
    <x:row r="33" ht="48" customHeight="1">
      <x:c r="A33" s="16" t="n">
        <x:f>COUNTIFS($R$7:$R$90,"&gt;"&amp;R33)+COUNTIFS($R$7:R33,R33)</x:f>
        <x:v>27</x:v>
      </x:c>
      <x:c r="B33" s="16" t="n">
        <x:f>IF(ISNUMBER(G33),COUNTIFS($G$7:$G$90,"&gt;"&amp;G33)+COUNTIFS($G$7:G33,G33),"n.a.")</x:f>
        <x:v>16</x:v>
      </x:c>
      <x:c r="C33" s="13" t="str">
        <x:v>1UB4</x:v>
      </x:c>
      <x:c r="D33" s="13" t="str">
        <x:v>1UB</x:v>
      </x:c>
      <x:c r="E33" s="13" t="str">
        <x:v>Urbaine</x:v>
      </x:c>
      <x:c r="F33" s="13" t="str">
        <x:v>Conditionnelle</x:v>
      </x:c>
      <x:c r="G33" s="14" t="n">
        <x:v>0.75</x:v>
      </x:c>
      <x:c r="H33" s="17" t="str">
        <x:v>75 % de l'unité foncière</x:v>
      </x:c>
      <x:c r="I33" s="17" t="str">
        <x:v>Opération d'ensemble</x:v>
      </x:c>
      <x:c r="J33" s="17" t="str">
        <x:v>Ancien centre de secours</x:v>
      </x:c>
      <x:c r="K33" s="17" t="str">
        <x:v>Règles spécifiques de secteur</x:v>
      </x:c>
      <x:c r="L33" s="17" t="str">
        <x:v>SPR ; opération d'aménagement d'ensemble</x:v>
      </x:c>
      <x:c r="M33" s="15" t="n">
        <x:v>25</x:v>
      </x:c>
      <x:c r="N33" s="15" t="n">
        <x:v>26.25</x:v>
      </x:c>
      <x:c r="O33" s="15" t="n">
        <x:v>8</x:v>
      </x:c>
      <x:c r="P33" s="15" t="n">
        <x:v>10</x:v>
      </x:c>
      <x:c r="Q33" s="15" t="n">
        <x:v>4</x:v>
      </x:c>
      <x:c r="R33" s="15" t="n">
        <x:f>SUM(M33:Q33)</x:f>
        <x:v>73.25</x:v>
      </x:c>
      <x:c r="S33" s="11" t="str">
        <x:f>IF(F33="Non","Hors cible",IF(R33&gt;=80,"Priorité 1",IF(R33&gt;=65,"Priorité 2",IF(R33&gt;=45,"Priorité 3","À valider"))))</x:f>
        <x:v>Priorité 2</x:v>
      </x:c>
      <x:c r="T33" s="17" t="str">
        <x:v>Approche opérateur / acquisition globale</x:v>
      </x:c>
      <x:c r="U33" s="17" t="str">
        <x:v>26-39 ; art. 9 p. 31</x:v>
      </x:c>
    </x:row>
    <x:row r="34" ht="48" customHeight="1">
      <x:c r="A34" s="16" t="n">
        <x:f>COUNTIFS($R$7:$R$90,"&gt;"&amp;R34)+COUNTIFS($R$7:R34,R34)</x:f>
        <x:v>28</x:v>
      </x:c>
      <x:c r="B34" s="16" t="n">
        <x:f>IF(ISNUMBER(G34),COUNTIFS($G$7:$G$90,"&gt;"&amp;G34)+COUNTIFS($G$7:G34,G34),"n.a.")</x:f>
        <x:v>32</x:v>
      </x:c>
      <x:c r="C34" s="13" t="str">
        <x:v>UD3</x:v>
      </x:c>
      <x:c r="D34" s="13" t="str">
        <x:v>UD</x:v>
      </x:c>
      <x:c r="E34" s="13" t="str">
        <x:v>Urbaine</x:v>
      </x:c>
      <x:c r="F34" s="13" t="str">
        <x:v>Oui</x:v>
      </x:c>
      <x:c r="G34" s="14" t="n">
        <x:v>0.3</x:v>
      </x:c>
      <x:c r="H34" s="17" t="str">
        <x:v>30 % + piscine : majoration de 8 % du terrain, plafonnée à 40 m²</x:v>
      </x:c>
      <x:c r="I34" s="17" t="str">
        <x:v>Maison / division parcellaire</x:v>
      </x:c>
      <x:c r="J34" s="17" t="str">
        <x:v>Pavillonnaire de forte densité</x:v>
      </x:c>
      <x:c r="K34" s="17" t="str">
        <x:v>HF 6 m ; HT 7,5 m</x:v>
      </x:c>
      <x:c r="L34" s="17" t="str">
        <x:v>Partiellement SPR ; accès/retraits</x:v>
      </x:c>
      <x:c r="M34" s="15" t="n">
        <x:v>30</x:v>
      </x:c>
      <x:c r="N34" s="15" t="n">
        <x:v>10.5</x:v>
      </x:c>
      <x:c r="O34" s="15" t="n">
        <x:v>15</x:v>
      </x:c>
      <x:c r="P34" s="15" t="n">
        <x:v>10</x:v>
      </x:c>
      <x:c r="Q34" s="15" t="n">
        <x:v>6</x:v>
      </x:c>
      <x:c r="R34" s="15" t="n">
        <x:f>SUM(M34:Q34)</x:f>
        <x:v>71.5</x:v>
      </x:c>
      <x:c r="S34" s="11" t="str">
        <x:f>IF(F34="Non","Hors cible",IF(R34&gt;=80,"Priorité 1",IF(R34&gt;=65,"Priorité 2",IF(R34&gt;=45,"Priorité 3","À valider"))))</x:f>
        <x:v>Priorité 2</x:v>
      </x:c>
      <x:c r="T34" s="17" t="str">
        <x:v>Très bon segment pour division de parcelle</x:v>
      </x:c>
      <x:c r="U34" s="17" t="str">
        <x:v>89-101 ; art. 9 p. 95</x:v>
      </x:c>
    </x:row>
    <x:row r="35" ht="48" customHeight="1">
      <x:c r="A35" s="16" t="n">
        <x:f>COUNTIFS($R$7:$R$90,"&gt;"&amp;R35)+COUNTIFS($R$7:R35,R35)</x:f>
        <x:v>29</x:v>
      </x:c>
      <x:c r="B35" s="16" t="n">
        <x:f>IF(ISNUMBER(G35),COUNTIFS($G$7:$G$90,"&gt;"&amp;G35)+COUNTIFS($G$7:G35,G35),"n.a.")</x:f>
        <x:v>31</x:v>
      </x:c>
      <x:c r="C35" s="13" t="str">
        <x:v>UV1</x:v>
      </x:c>
      <x:c r="D35" s="13" t="str">
        <x:v>UV</x:v>
      </x:c>
      <x:c r="E35" s="13" t="str">
        <x:v>Urbaine</x:v>
      </x:c>
      <x:c r="F35" s="13" t="str">
        <x:v>Oui</x:v>
      </x:c>
      <x:c r="G35" s="14" t="n">
        <x:v>0.4</x:v>
      </x:c>
      <x:c r="H35" s="17" t="str">
        <x:v>40 % de l'unité foncière</x:v>
      </x:c>
      <x:c r="I35" s="17" t="str">
        <x:v>Collectif / restructuration</x:v>
      </x:c>
      <x:c r="J35" s="17" t="str">
        <x:v>Logements collectifs ZAC de Villeroy</x:v>
      </x:c>
      <x:c r="K35" s="17" t="str">
        <x:v>15,70 m NGF</x:v>
      </x:c>
      <x:c r="L35" s="17" t="str">
        <x:v>ZAC ; niveaux NGF à vérifier</x:v>
      </x:c>
      <x:c r="M35" s="15" t="n">
        <x:v>28</x:v>
      </x:c>
      <x:c r="N35" s="15" t="n">
        <x:v>14</x:v>
      </x:c>
      <x:c r="O35" s="15" t="n">
        <x:v>12</x:v>
      </x:c>
      <x:c r="P35" s="15" t="n">
        <x:v>10</x:v>
      </x:c>
      <x:c r="Q35" s="15" t="n">
        <x:v>7</x:v>
      </x:c>
      <x:c r="R35" s="15" t="n">
        <x:f>SUM(M35:Q35)</x:f>
        <x:v>71</x:v>
      </x:c>
      <x:c r="S35" s="11" t="str">
        <x:f>IF(F35="Non","Hors cible",IF(R35&gt;=80,"Priorité 1",IF(R35&gt;=65,"Priorité 2",IF(R35&gt;=45,"Priorité 3","À valider"))))</x:f>
        <x:v>Priorité 2</x:v>
      </x:c>
      <x:c r="T35" s="17" t="str">
        <x:v>Cibler actifs bâtis et copropriétés à restructurer</x:v>
      </x:c>
      <x:c r="U35" s="17" t="str">
        <x:v>102-112 ; art. 9 p. 107</x:v>
      </x:c>
    </x:row>
    <x:row r="36" ht="48" customHeight="1">
      <x:c r="A36" s="16" t="n">
        <x:f>COUNTIFS($R$7:$R$90,"&gt;"&amp;R36)+COUNTIFS($R$7:R36,R36)</x:f>
        <x:v>30</x:v>
      </x:c>
      <x:c r="B36" s="16" t="n">
        <x:f>IF(ISNUMBER(G36),COUNTIFS($G$7:$G$90,"&gt;"&amp;G36)+COUNTIFS($G$7:G36,G36),"n.a.")</x:f>
        <x:v>33</x:v>
      </x:c>
      <x:c r="C36" s="13" t="str">
        <x:v>UD2</x:v>
      </x:c>
      <x:c r="D36" s="13" t="str">
        <x:v>UD</x:v>
      </x:c>
      <x:c r="E36" s="13" t="str">
        <x:v>Urbaine</x:v>
      </x:c>
      <x:c r="F36" s="13" t="str">
        <x:v>Oui</x:v>
      </x:c>
      <x:c r="G36" s="14" t="n">
        <x:v>0.2</x:v>
      </x:c>
      <x:c r="H36" s="17" t="str">
        <x:v>20 % + piscine : majoration de 8 % du terrain, plafonnée à 40 m²</x:v>
      </x:c>
      <x:c r="I36" s="17" t="str">
        <x:v>Maison / division parcellaire</x:v>
      </x:c>
      <x:c r="J36" s="17" t="str">
        <x:v>Pavillonnaire de moyenne densité</x:v>
      </x:c>
      <x:c r="K36" s="17" t="str">
        <x:v>HF 6 m ; HT 7,5 m</x:v>
      </x:c>
      <x:c r="L36" s="17" t="str">
        <x:v>Accès et retraits déterminants</x:v>
      </x:c>
      <x:c r="M36" s="15" t="n">
        <x:v>30</x:v>
      </x:c>
      <x:c r="N36" s="15" t="n">
        <x:v>7</x:v>
      </x:c>
      <x:c r="O36" s="15" t="n">
        <x:v>15</x:v>
      </x:c>
      <x:c r="P36" s="15" t="n">
        <x:v>10</x:v>
      </x:c>
      <x:c r="Q36" s="15" t="n">
        <x:v>8</x:v>
      </x:c>
      <x:c r="R36" s="15" t="n">
        <x:f>SUM(M36:Q36)</x:f>
        <x:v>70</x:v>
      </x:c>
      <x:c r="S36" s="11" t="str">
        <x:f>IF(F36="Non","Hors cible",IF(R36&gt;=80,"Priorité 1",IF(R36&gt;=65,"Priorité 2",IF(R36&gt;=45,"Priorité 3","À valider"))))</x:f>
        <x:v>Priorité 2</x:v>
      </x:c>
      <x:c r="T36" s="17" t="str">
        <x:v>Cibler parcelles profondes avec accès latéral</x:v>
      </x:c>
      <x:c r="U36" s="17" t="str">
        <x:v>89-101 ; art. 9 p. 95</x:v>
      </x:c>
    </x:row>
    <x:row r="37" ht="48" customHeight="1">
      <x:c r="A37" s="16" t="n">
        <x:f>COUNTIFS($R$7:$R$90,"&gt;"&amp;R37)+COUNTIFS($R$7:R37,R37)</x:f>
        <x:v>31</x:v>
      </x:c>
      <x:c r="B37" s="16" t="n">
        <x:f>IF(ISNUMBER(G37),COUNTIFS($G$7:$G$90,"&gt;"&amp;G37)+COUNTIFS($G$7:G37,G37),"n.a.")</x:f>
        <x:v>25</x:v>
      </x:c>
      <x:c r="C37" s="13" t="str">
        <x:v>3UB9</x:v>
      </x:c>
      <x:c r="D37" s="13" t="str">
        <x:v>3UB</x:v>
      </x:c>
      <x:c r="E37" s="13" t="str">
        <x:v>Urbaine</x:v>
      </x:c>
      <x:c r="F37" s="13" t="str">
        <x:v>Oui</x:v>
      </x:c>
      <x:c r="G37" s="14" t="n">
        <x:v>0.5</x:v>
      </x:c>
      <x:c r="H37" s="17" t="str">
        <x:v>50 % de l'unité foncière, mais conflit rédactionnel avec la ligne à 10 %</x:v>
      </x:c>
      <x:c r="I37" s="17" t="str">
        <x:v>Densification prudente</x:v>
      </x:c>
      <x:c r="J37" s="17" t="str">
        <x:v>Pergolines, secteur en mutation</x:v>
      </x:c>
      <x:c r="K37" s="17" t="str">
        <x:v>HF 15 m ; règles sectorielles</x:v>
      </x:c>
      <x:c r="L37" s="17" t="str">
        <x:v>Incohérence de l'article 9</x:v>
      </x:c>
      <x:c r="M37" s="15" t="n">
        <x:v>28</x:v>
      </x:c>
      <x:c r="N37" s="15" t="n">
        <x:v>17.5</x:v>
      </x:c>
      <x:c r="O37" s="15" t="n">
        <x:v>13</x:v>
      </x:c>
      <x:c r="P37" s="15" t="n">
        <x:v>3</x:v>
      </x:c>
      <x:c r="Q37" s="15" t="n">
        <x:v>7</x:v>
      </x:c>
      <x:c r="R37" s="15" t="n">
        <x:f>SUM(M37:Q37)</x:f>
        <x:v>68.5</x:v>
      </x:c>
      <x:c r="S37" s="11" t="str">
        <x:f>IF(F37="Non","Hors cible",IF(R37&gt;=80,"Priorité 1",IF(R37&gt;=65,"Priorité 2",IF(R37&gt;=45,"Priorité 3","À valider"))))</x:f>
        <x:v>Priorité 2</x:v>
      </x:c>
      <x:c r="T37" s="17" t="str">
        <x:v>Obtenir confirmation écrite avant toute offre</x:v>
      </x:c>
      <x:c r="U37" s="17" t="str">
        <x:v>64-77 ; art. 9 p. 71</x:v>
      </x:c>
    </x:row>
    <x:row r="38" ht="48" customHeight="1">
      <x:c r="A38" s="16" t="n">
        <x:f>COUNTIFS($R$7:$R$90,"&gt;"&amp;R38)+COUNTIFS($R$7:R38,R38)</x:f>
        <x:v>32</x:v>
      </x:c>
      <x:c r="B38" s="16" t="str">
        <x:f>IF(ISNUMBER(G38),COUNTIFS($G$7:$G$90,"&gt;"&amp;G38)+COUNTIFS($G$7:G38,G38),"n.a.")</x:f>
        <x:v>n.a.</x:v>
      </x:c>
      <x:c r="C38" s="13" t="str">
        <x:v>2UB</x:v>
      </x:c>
      <x:c r="D38" s="13" t="str">
        <x:v>2UB</x:v>
      </x:c>
      <x:c r="E38" s="13" t="str">
        <x:v>Urbaine</x:v>
      </x:c>
      <x:c r="F38" s="13" t="str">
        <x:v>Conditionnelle</x:v>
      </x:c>
      <x:c r="G38" s="14"/>
      <x:c r="H38" s="17" t="str">
        <x:v>Emprise non réglementée</x:v>
      </x:c>
      <x:c r="I38" s="17" t="str">
        <x:v>Renouvellement urbain / opération globale</x:v>
      </x:c>
      <x:c r="J38" s="17" t="str">
        <x:v>ZAC Entrée Est Rive Sud, vocation mixte</x:v>
      </x:c>
      <x:c r="K38" s="17" t="str">
        <x:v>26,5 m maximum ; épannelages par îlot</x:v>
      </x:c>
      <x:c r="L38" s="17" t="str">
        <x:v>ZAC ; plans normatifs ; PPRI ; SPR partiels</x:v>
      </x:c>
      <x:c r="M38" s="15" t="n">
        <x:v>22</x:v>
      </x:c>
      <x:c r="N38" s="15" t="n">
        <x:v>30</x:v>
      </x:c>
      <x:c r="O38" s="15" t="n">
        <x:v>8</x:v>
      </x:c>
      <x:c r="P38" s="15" t="n">
        <x:v>6</x:v>
      </x:c>
      <x:c r="Q38" s="15" t="n">
        <x:v>2</x:v>
      </x:c>
      <x:c r="R38" s="15" t="n">
        <x:f>SUM(M38:Q38)</x:f>
        <x:v>68</x:v>
      </x:c>
      <x:c r="S38" s="11" t="str">
        <x:f>IF(F38="Non","Hors cible",IF(R38&gt;=80,"Priorité 1",IF(R38&gt;=65,"Priorité 2",IF(R38&gt;=45,"Priorité 3","À valider"))))</x:f>
        <x:v>Priorité 2</x:v>
      </x:c>
      <x:c r="T38" s="17" t="str">
        <x:v>Réservé aux opérations structurées avec maîtrise foncière</x:v>
      </x:c>
      <x:c r="U38" s="17" t="str">
        <x:v>40-63 ; art. 9 p. 46</x:v>
      </x:c>
    </x:row>
    <x:row r="39" ht="48" customHeight="1">
      <x:c r="A39" s="16" t="n">
        <x:f>COUNTIFS($R$7:$R$90,"&gt;"&amp;R39)+COUNTIFS($R$7:R39,R39)</x:f>
        <x:v>33</x:v>
      </x:c>
      <x:c r="B39" s="16" t="n">
        <x:f>IF(ISNUMBER(G39),COUNTIFS($G$7:$G$90,"&gt;"&amp;G39)+COUNTIFS($G$7:G39,G39),"n.a.")</x:f>
        <x:v>34</x:v>
      </x:c>
      <x:c r="C39" s="13" t="str">
        <x:v>UD1a</x:v>
      </x:c>
      <x:c r="D39" s="13" t="str">
        <x:v>UD</x:v>
      </x:c>
      <x:c r="E39" s="13" t="str">
        <x:v>Urbaine</x:v>
      </x:c>
      <x:c r="F39" s="13" t="str">
        <x:v>Oui</x:v>
      </x:c>
      <x:c r="G39" s="14" t="n">
        <x:v>0.2</x:v>
      </x:c>
      <x:c r="H39" s="17" t="str">
        <x:v>20 % ; majoration piscine non explicitement citée pour UD1a</x:v>
      </x:c>
      <x:c r="I39" s="17" t="str">
        <x:v>Maison / commerce de proximité</x:v>
      </x:c>
      <x:c r="J39" s="17" t="str">
        <x:v>Sous-secteur pavillonnaire</x:v>
      </x:c>
      <x:c r="K39" s="17" t="str">
        <x:v>HF 4,5 m ; HT 6 m</x:v>
      </x:c>
      <x:c r="L39" s="17" t="str">
        <x:v>Sensibilité paysagère ; règle piscine à confirmer</x:v>
      </x:c>
      <x:c r="M39" s="15" t="n">
        <x:v>30</x:v>
      </x:c>
      <x:c r="N39" s="15" t="n">
        <x:v>7</x:v>
      </x:c>
      <x:c r="O39" s="15" t="n">
        <x:v>15</x:v>
      </x:c>
      <x:c r="P39" s="15" t="n">
        <x:v>8</x:v>
      </x:c>
      <x:c r="Q39" s="15" t="n">
        <x:v>6</x:v>
      </x:c>
      <x:c r="R39" s="15" t="n">
        <x:f>SUM(M39:Q39)</x:f>
        <x:v>66</x:v>
      </x:c>
      <x:c r="S39" s="11" t="str">
        <x:f>IF(F39="Non","Hors cible",IF(R39&gt;=80,"Priorité 1",IF(R39&gt;=65,"Priorité 2",IF(R39&gt;=45,"Priorité 3","À valider"))))</x:f>
        <x:v>Priorité 2</x:v>
      </x:c>
      <x:c r="T39" s="17" t="str">
        <x:v>Cibler extensions et divisions simples</x:v>
      </x:c>
      <x:c r="U39" s="17" t="str">
        <x:v>89-101 ; art. 9 p. 95</x:v>
      </x:c>
    </x:row>
    <x:row r="40" ht="48" customHeight="1">
      <x:c r="A40" s="16" t="n">
        <x:f>COUNTIFS($R$7:$R$90,"&gt;"&amp;R40)+COUNTIFS($R$7:R40,R40)</x:f>
        <x:v>34</x:v>
      </x:c>
      <x:c r="B40" s="16" t="n">
        <x:f>IF(ISNUMBER(G40),COUNTIFS($G$7:$G$90,"&gt;"&amp;G40)+COUNTIFS($G$7:G40,G40),"n.a.")</x:f>
        <x:v>35</x:v>
      </x:c>
      <x:c r="C40" s="13" t="str">
        <x:v>UD1</x:v>
      </x:c>
      <x:c r="D40" s="13" t="str">
        <x:v>UD</x:v>
      </x:c>
      <x:c r="E40" s="13" t="str">
        <x:v>Urbaine</x:v>
      </x:c>
      <x:c r="F40" s="13" t="str">
        <x:v>Oui</x:v>
      </x:c>
      <x:c r="G40" s="14" t="n">
        <x:v>0.11</x:v>
      </x:c>
      <x:c r="H40" s="17" t="str">
        <x:v>11 % + piscine : majoration de 8 % du terrain, plafonnée à 40 m²</x:v>
      </x:c>
      <x:c r="I40" s="17" t="str">
        <x:v>Maison / division parcellaire sélective</x:v>
      </x:c>
      <x:c r="J40" s="17" t="str">
        <x:v>Pavillonnaire du Mont Saint-Clair</x:v>
      </x:c>
      <x:c r="K40" s="17" t="str">
        <x:v>HF 7 m ; HT 8,5 m</x:v>
      </x:c>
      <x:c r="L40" s="17" t="str">
        <x:v>Forte sensibilité paysagère ; relief ; accès</x:v>
      </x:c>
      <x:c r="M40" s="15" t="n">
        <x:v>30</x:v>
      </x:c>
      <x:c r="N40" s="15" t="n">
        <x:v>3.85</x:v>
      </x:c>
      <x:c r="O40" s="15" t="n">
        <x:v>15</x:v>
      </x:c>
      <x:c r="P40" s="15" t="n">
        <x:v>10</x:v>
      </x:c>
      <x:c r="Q40" s="15" t="n">
        <x:v>5</x:v>
      </x:c>
      <x:c r="R40" s="15" t="n">
        <x:f>SUM(M40:Q40)</x:f>
        <x:v>63.85</x:v>
      </x:c>
      <x:c r="S40" s="11" t="str">
        <x:f>IF(F40="Non","Hors cible",IF(R40&gt;=80,"Priorité 1",IF(R40&gt;=65,"Priorité 2",IF(R40&gt;=45,"Priorité 3","À valider"))))</x:f>
        <x:v>Priorité 3</x:v>
      </x:c>
      <x:c r="T40" s="17" t="str">
        <x:v>Cibler très grandes parcelles et droits résiduels</x:v>
      </x:c>
      <x:c r="U40" s="17" t="str">
        <x:v>89-101 ; art. 9 p. 95</x:v>
      </x:c>
    </x:row>
    <x:row r="41" ht="48" customHeight="1">
      <x:c r="A41" s="16" t="n">
        <x:f>COUNTIFS($R$7:$R$90,"&gt;"&amp;R41)+COUNTIFS($R$7:R41,R41)</x:f>
        <x:v>35</x:v>
      </x:c>
      <x:c r="B41" s="16" t="n">
        <x:f>IF(ISNUMBER(G41),COUNTIFS($G$7:$G$90,"&gt;"&amp;G41)+COUNTIFS($G$7:G41,G41),"n.a.")</x:f>
        <x:v>17</x:v>
      </x:c>
      <x:c r="C41" s="13" t="str">
        <x:v>UC4e</x:v>
      </x:c>
      <x:c r="D41" s="13" t="str">
        <x:v>UC</x:v>
      </x:c>
      <x:c r="E41" s="13" t="str">
        <x:v>Urbaine</x:v>
      </x:c>
      <x:c r="F41" s="13" t="str">
        <x:v>Conditionnelle</x:v>
      </x:c>
      <x:c r="G41" s="14" t="n">
        <x:v>0.75</x:v>
      </x:c>
      <x:c r="H41" s="17" t="str">
        <x:v>75 % de l'unité foncière</x:v>
      </x:c>
      <x:c r="I41" s="17" t="str">
        <x:v>Reconversion spécialisée</x:v>
      </x:c>
      <x:c r="J41" s="17" t="str">
        <x:v>Îlot hôtelier et restauration</x:v>
      </x:c>
      <x:c r="K41" s="17" t="str">
        <x:v>Règles sectorielles</x:v>
      </x:c>
      <x:c r="L41" s="17" t="str">
        <x:v>Vocation hôtelière/restauration</x:v>
      </x:c>
      <x:c r="M41" s="15" t="n">
        <x:v>15</x:v>
      </x:c>
      <x:c r="N41" s="15" t="n">
        <x:v>26.25</x:v>
      </x:c>
      <x:c r="O41" s="15" t="n">
        <x:v>5</x:v>
      </x:c>
      <x:c r="P41" s="15" t="n">
        <x:v>10</x:v>
      </x:c>
      <x:c r="Q41" s="15" t="n">
        <x:v>6</x:v>
      </x:c>
      <x:c r="R41" s="15" t="n">
        <x:f>SUM(M41:Q41)</x:f>
        <x:v>62.25</x:v>
      </x:c>
      <x:c r="S41" s="11" t="str">
        <x:f>IF(F41="Non","Hors cible",IF(R41&gt;=80,"Priorité 1",IF(R41&gt;=65,"Priorité 2",IF(R41&gt;=45,"Priorité 3","À valider"))))</x:f>
        <x:v>Priorité 3</x:v>
      </x:c>
      <x:c r="T41" s="17" t="str">
        <x:v>Confirmer possibilité de changement vers logement</x:v>
      </x:c>
      <x:c r="U41" s="17" t="str">
        <x:v>78-88 ; art. 9 p. 83</x:v>
      </x:c>
    </x:row>
    <x:row r="42" ht="48" customHeight="1">
      <x:c r="A42" s="16" t="n">
        <x:f>COUNTIFS($R$7:$R$90,"&gt;"&amp;R42)+COUNTIFS($R$7:R42,R42)</x:f>
        <x:v>36</x:v>
      </x:c>
      <x:c r="B42" s="16" t="str">
        <x:f>IF(ISNUMBER(G42),COUNTIFS($G$7:$G$90,"&gt;"&amp;G42)+COUNTIFS($G$7:G42,G42),"n.a.")</x:f>
        <x:v>n.a.</x:v>
      </x:c>
      <x:c r="C42" s="13" t="str">
        <x:v>UV4</x:v>
      </x:c>
      <x:c r="D42" s="13" t="str">
        <x:v>UV</x:v>
      </x:c>
      <x:c r="E42" s="13" t="str">
        <x:v>Urbaine</x:v>
      </x:c>
      <x:c r="F42" s="13" t="str">
        <x:v>Conditionnelle</x:v>
      </x:c>
      <x:c r="G42" s="14"/>
      <x:c r="H42" s="17" t="str">
        <x:v>Emprise fixée par les documents graphiques de la ZAC Ouest</x:v>
      </x:c>
      <x:c r="I42" s="17" t="str">
        <x:v>Opération planifiée</x:v>
      </x:c>
      <x:c r="J42" s="17" t="str">
        <x:v>ZAC Entrée Ouest</x:v>
      </x:c>
      <x:c r="K42" s="17" t="str">
        <x:v>Hauteurs fixées par la ZAC</x:v>
      </x:c>
      <x:c r="L42" s="17" t="str">
        <x:v>Documents graphiques opposables</x:v>
      </x:c>
      <x:c r="M42" s="15" t="n">
        <x:v>22</x:v>
      </x:c>
      <x:c r="N42" s="15" t="n">
        <x:v>22</x:v>
      </x:c>
      <x:c r="O42" s="15" t="n">
        <x:v>8</x:v>
      </x:c>
      <x:c r="P42" s="15" t="n">
        <x:v>6</x:v>
      </x:c>
      <x:c r="Q42" s="15" t="n">
        <x:v>3</x:v>
      </x:c>
      <x:c r="R42" s="15" t="n">
        <x:f>SUM(M42:Q42)</x:f>
        <x:v>61</x:v>
      </x:c>
      <x:c r="S42" s="11" t="str">
        <x:f>IF(F42="Non","Hors cible",IF(R42&gt;=80,"Priorité 1",IF(R42&gt;=65,"Priorité 2",IF(R42&gt;=45,"Priorité 3","À valider"))))</x:f>
        <x:v>Priorité 3</x:v>
      </x:c>
      <x:c r="T42" s="17" t="str">
        <x:v>Importer les polygones d'emprise de la ZAC avant scoring</x:v>
      </x:c>
      <x:c r="U42" s="17" t="str">
        <x:v>102-112 ; art. 9 p. 107</x:v>
      </x:c>
    </x:row>
    <x:row r="43" ht="48" customHeight="1">
      <x:c r="A43" s="16" t="n">
        <x:f>COUNTIFS($R$7:$R$90,"&gt;"&amp;R43)+COUNTIFS($R$7:R43,R43)</x:f>
        <x:v>37</x:v>
      </x:c>
      <x:c r="B43" s="16" t="n">
        <x:f>IF(ISNUMBER(G43),COUNTIFS($G$7:$G$90,"&gt;"&amp;G43)+COUNTIFS($G$7:G43,G43),"n.a.")</x:f>
        <x:v>28</x:v>
      </x:c>
      <x:c r="C43" s="13" t="str">
        <x:v>UC2</x:v>
      </x:c>
      <x:c r="D43" s="13" t="str">
        <x:v>UC</x:v>
      </x:c>
      <x:c r="E43" s="13" t="str">
        <x:v>Urbaine</x:v>
      </x:c>
      <x:c r="F43" s="13" t="str">
        <x:v>Conditionnelle</x:v>
      </x:c>
      <x:c r="G43" s="14" t="n">
        <x:v>0.45</x:v>
      </x:c>
      <x:c r="H43" s="17" t="str">
        <x:v>45 % de l'unité foncière</x:v>
      </x:c>
      <x:c r="I43" s="17" t="str">
        <x:v>Reconversion / équipement</x:v>
      </x:c>
      <x:c r="J43" s="17" t="str">
        <x:v>Équipements publics et loisirs</x:v>
      </x:c>
      <x:c r="K43" s="17" t="str">
        <x:v>HF 10,5 m ; HT 12,5 m</x:v>
      </x:c>
      <x:c r="L43" s="17" t="str">
        <x:v>Vocation majoritairement équipement</x:v>
      </x:c>
      <x:c r="M43" s="15" t="n">
        <x:v>20</x:v>
      </x:c>
      <x:c r="N43" s="15" t="n">
        <x:v>15.75</x:v>
      </x:c>
      <x:c r="O43" s="15" t="n">
        <x:v>8</x:v>
      </x:c>
      <x:c r="P43" s="15" t="n">
        <x:v>10</x:v>
      </x:c>
      <x:c r="Q43" s="15" t="n">
        <x:v>7</x:v>
      </x:c>
      <x:c r="R43" s="15" t="n">
        <x:f>SUM(M43:Q43)</x:f>
        <x:v>60.75</x:v>
      </x:c>
      <x:c r="S43" s="11" t="str">
        <x:f>IF(F43="Non","Hors cible",IF(R43&gt;=80,"Priorité 1",IF(R43&gt;=65,"Priorité 2",IF(R43&gt;=45,"Priorité 3","À valider"))))</x:f>
        <x:v>Priorité 3</x:v>
      </x:c>
      <x:c r="T43" s="17" t="str">
        <x:v>Confirmer que l'habitation est admise sur la parcelle</x:v>
      </x:c>
      <x:c r="U43" s="17" t="str">
        <x:v>78-88 ; art. 9 p. 83</x:v>
      </x:c>
    </x:row>
    <x:row r="44" ht="48" customHeight="1">
      <x:c r="A44" s="16" t="n">
        <x:f>COUNTIFS($R$7:$R$90,"&gt;"&amp;R44)+COUNTIFS($R$7:R44,R44)</x:f>
        <x:v>38</x:v>
      </x:c>
      <x:c r="B44" s="16" t="n">
        <x:f>IF(ISNUMBER(G44),COUNTIFS($G$7:$G$90,"&gt;"&amp;G44)+COUNTIFS($G$7:G44,G44),"n.a.")</x:f>
        <x:v>26</x:v>
      </x:c>
      <x:c r="C44" s="13" t="str">
        <x:v>UC1</x:v>
      </x:c>
      <x:c r="D44" s="13" t="str">
        <x:v>UC</x:v>
      </x:c>
      <x:c r="E44" s="13" t="str">
        <x:v>Urbaine</x:v>
      </x:c>
      <x:c r="F44" s="13" t="str">
        <x:v>Conditionnelle</x:v>
      </x:c>
      <x:c r="G44" s="14" t="n">
        <x:v>0.5</x:v>
      </x:c>
      <x:c r="H44" s="17" t="str">
        <x:v>50 % de l'unité foncière</x:v>
      </x:c>
      <x:c r="I44" s="17" t="str">
        <x:v>Mutation spécialisée</x:v>
      </x:c>
      <x:c r="J44" s="17" t="str">
        <x:v>Terrains de l'IFREMER</x:v>
      </x:c>
      <x:c r="K44" s="17" t="str">
        <x:v>HT 13 m</x:v>
      </x:c>
      <x:c r="L44" s="17" t="str">
        <x:v>Vocation équipement/recherche à confirmer</x:v>
      </x:c>
      <x:c r="M44" s="15" t="n">
        <x:v>15</x:v>
      </x:c>
      <x:c r="N44" s="15" t="n">
        <x:v>17.5</x:v>
      </x:c>
      <x:c r="O44" s="15" t="n">
        <x:v>4</x:v>
      </x:c>
      <x:c r="P44" s="15" t="n">
        <x:v>10</x:v>
      </x:c>
      <x:c r="Q44" s="15" t="n">
        <x:v>6</x:v>
      </x:c>
      <x:c r="R44" s="15" t="n">
        <x:f>SUM(M44:Q44)</x:f>
        <x:v>52.5</x:v>
      </x:c>
      <x:c r="S44" s="11" t="str">
        <x:f>IF(F44="Non","Hors cible",IF(R44&gt;=80,"Priorité 1",IF(R44&gt;=65,"Priorité 2",IF(R44&gt;=45,"Priorité 3","À valider"))))</x:f>
        <x:v>Priorité 3</x:v>
      </x:c>
      <x:c r="T44" s="17" t="str">
        <x:v>Vérifier destination et disponibilité réelle du foncier</x:v>
      </x:c>
      <x:c r="U44" s="17" t="str">
        <x:v>78-88 ; art. 9 p. 83</x:v>
      </x:c>
    </x:row>
    <x:row r="45" ht="48" customHeight="1">
      <x:c r="A45" s="16" t="n">
        <x:f>COUNTIFS($R$7:$R$90,"&gt;"&amp;R45)+COUNTIFS($R$7:R45,R45)</x:f>
        <x:v>39</x:v>
      </x:c>
      <x:c r="B45" s="16" t="n">
        <x:f>IF(ISNUMBER(G45),COUNTIFS($G$7:$G$90,"&gt;"&amp;G45)+COUNTIFS($G$7:G45,G45),"n.a.")</x:f>
        <x:v>27</x:v>
      </x:c>
      <x:c r="C45" s="13" t="str">
        <x:v>UC5</x:v>
      </x:c>
      <x:c r="D45" s="13" t="str">
        <x:v>UC</x:v>
      </x:c>
      <x:c r="E45" s="13" t="str">
        <x:v>Urbaine</x:v>
      </x:c>
      <x:c r="F45" s="13" t="str">
        <x:v>Conditionnelle</x:v>
      </x:c>
      <x:c r="G45" s="14" t="n">
        <x:v>0.5</x:v>
      </x:c>
      <x:c r="H45" s="17" t="str">
        <x:v>50 % de l'unité foncière</x:v>
      </x:c>
      <x:c r="I45" s="17" t="str">
        <x:v>Mutation spécialisée</x:v>
      </x:c>
      <x:c r="J45" s="17" t="str">
        <x:v>Secteur de l'hôpital</x:v>
      </x:c>
      <x:c r="K45" s="17" t="str">
        <x:v>HT 25 m</x:v>
      </x:c>
      <x:c r="L45" s="17" t="str">
        <x:v>Vocation hospitalière</x:v>
      </x:c>
      <x:c r="M45" s="15" t="n">
        <x:v>10</x:v>
      </x:c>
      <x:c r="N45" s="15" t="n">
        <x:v>17.5</x:v>
      </x:c>
      <x:c r="O45" s="15" t="n">
        <x:v>3</x:v>
      </x:c>
      <x:c r="P45" s="15" t="n">
        <x:v>10</x:v>
      </x:c>
      <x:c r="Q45" s="15" t="n">
        <x:v>5</x:v>
      </x:c>
      <x:c r="R45" s="15" t="n">
        <x:f>SUM(M45:Q45)</x:f>
        <x:v>45.5</x:v>
      </x:c>
      <x:c r="S45" s="11" t="str">
        <x:f>IF(F45="Non","Hors cible",IF(R45&gt;=80,"Priorité 1",IF(R45&gt;=65,"Priorité 2",IF(R45&gt;=45,"Priorité 3","À valider"))))</x:f>
        <x:v>Priorité 3</x:v>
      </x:c>
      <x:c r="T45" s="17" t="str">
        <x:v>Exclure sauf actif privé clairement mutable</x:v>
      </x:c>
      <x:c r="U45" s="17" t="str">
        <x:v>78-88 ; art. 9 p. 83</x:v>
      </x:c>
    </x:row>
    <x:row r="46" ht="48" customHeight="1">
      <x:c r="A46" s="16" t="n">
        <x:f>COUNTIFS($R$7:$R$90,"&gt;"&amp;R46)+COUNTIFS($R$7:R46,R46)</x:f>
        <x:v>40</x:v>
      </x:c>
      <x:c r="B46" s="16" t="n">
        <x:f>IF(ISNUMBER(G46),COUNTIFS($G$7:$G$90,"&gt;"&amp;G46)+COUNTIFS($G$7:G46,G46),"n.a.")</x:f>
        <x:v>36</x:v>
      </x:c>
      <x:c r="C46" s="13" t="str">
        <x:v>1UB1v</x:v>
      </x:c>
      <x:c r="D46" s="13" t="str">
        <x:v>1UB</x:v>
      </x:c>
      <x:c r="E46" s="13" t="str">
        <x:v>Urbaine</x:v>
      </x:c>
      <x:c r="F46" s="13" t="str">
        <x:v>Conditionnelle</x:v>
      </x:c>
      <x:c r="G46" s="14" t="n">
        <x:v>0.1</x:v>
      </x:c>
      <x:c r="H46" s="17" t="str">
        <x:v>10 % de l'unité foncière</x:v>
      </x:c>
      <x:c r="I46" s="17" t="str">
        <x:v>Bâti existant / extension limitée</x:v>
      </x:c>
      <x:c r="J46" s="17" t="str">
        <x:v>Centre ancien en EVP</x:v>
      </x:c>
      <x:c r="K46" s="17" t="str">
        <x:v>Règles 1UB1</x:v>
      </x:c>
      <x:c r="L46" s="17" t="str">
        <x:v>SPR + espace vert protégé</x:v>
      </x:c>
      <x:c r="M46" s="15" t="n">
        <x:v>20</x:v>
      </x:c>
      <x:c r="N46" s="15" t="n">
        <x:v>3.5</x:v>
      </x:c>
      <x:c r="O46" s="15" t="n">
        <x:v>3</x:v>
      </x:c>
      <x:c r="P46" s="15" t="n">
        <x:v>10</x:v>
      </x:c>
      <x:c r="Q46" s="15" t="n">
        <x:v>1</x:v>
      </x:c>
      <x:c r="R46" s="15" t="n">
        <x:f>SUM(M46:Q46)</x:f>
        <x:v>37.5</x:v>
      </x:c>
      <x:c r="S46" s="11" t="str">
        <x:f>IF(F46="Non","Hors cible",IF(R46&gt;=80,"Priorité 1",IF(R46&gt;=65,"Priorité 2",IF(R46&gt;=45,"Priorité 3","À valider"))))</x:f>
        <x:v>À valider</x:v>
      </x:c>
      <x:c r="T46" s="17" t="str">
        <x:v>Écarter les projets de densification forte</x:v>
      </x:c>
      <x:c r="U46" s="17" t="str">
        <x:v>26-39 ; art. 9 p. 31-32</x:v>
      </x:c>
    </x:row>
    <x:row r="47" ht="48" customHeight="1">
      <x:c r="A47" s="16" t="n">
        <x:f>COUNTIFS($R$7:$R$90,"&gt;"&amp;R47)+COUNTIFS($R$7:R47,R47)</x:f>
        <x:v>41</x:v>
      </x:c>
      <x:c r="B47" s="16" t="n">
        <x:f>IF(ISNUMBER(G47),COUNTIFS($G$7:$G$90,"&gt;"&amp;G47)+COUNTIFS($G$7:G47,G47),"n.a.")</x:f>
        <x:v>37</x:v>
      </x:c>
      <x:c r="C47" s="13" t="str">
        <x:v>1UB2v</x:v>
      </x:c>
      <x:c r="D47" s="13" t="str">
        <x:v>1UB</x:v>
      </x:c>
      <x:c r="E47" s="13" t="str">
        <x:v>Urbaine</x:v>
      </x:c>
      <x:c r="F47" s="13" t="str">
        <x:v>Conditionnelle</x:v>
      </x:c>
      <x:c r="G47" s="14" t="n">
        <x:v>0.1</x:v>
      </x:c>
      <x:c r="H47" s="17" t="str">
        <x:v>10 % de l'unité foncière</x:v>
      </x:c>
      <x:c r="I47" s="17" t="str">
        <x:v>Bâti existant / extension limitée</x:v>
      </x:c>
      <x:c r="J47" s="17" t="str">
        <x:v>Cœur urbain en EVP</x:v>
      </x:c>
      <x:c r="K47" s="17" t="str">
        <x:v>Règles 1UB2</x:v>
      </x:c>
      <x:c r="L47" s="17" t="str">
        <x:v>SPR + espace vert protégé</x:v>
      </x:c>
      <x:c r="M47" s="15" t="n">
        <x:v>20</x:v>
      </x:c>
      <x:c r="N47" s="15" t="n">
        <x:v>3.5</x:v>
      </x:c>
      <x:c r="O47" s="15" t="n">
        <x:v>3</x:v>
      </x:c>
      <x:c r="P47" s="15" t="n">
        <x:v>10</x:v>
      </x:c>
      <x:c r="Q47" s="15" t="n">
        <x:v>1</x:v>
      </x:c>
      <x:c r="R47" s="15" t="n">
        <x:f>SUM(M47:Q47)</x:f>
        <x:v>37.5</x:v>
      </x:c>
      <x:c r="S47" s="11" t="str">
        <x:f>IF(F47="Non","Hors cible",IF(R47&gt;=80,"Priorité 1",IF(R47&gt;=65,"Priorité 2",IF(R47&gt;=45,"Priorité 3","À valider"))))</x:f>
        <x:v>À valider</x:v>
      </x:c>
      <x:c r="T47" s="17" t="str">
        <x:v>Validation EVP et SPR avant offre</x:v>
      </x:c>
      <x:c r="U47" s="17" t="str">
        <x:v>26-39 ; art. 9 p. 31-32</x:v>
      </x:c>
    </x:row>
    <x:row r="48" ht="48" customHeight="1">
      <x:c r="A48" s="16" t="n">
        <x:f>COUNTIFS($R$7:$R$90,"&gt;"&amp;R48)+COUNTIFS($R$7:R48,R48)</x:f>
        <x:v>42</x:v>
      </x:c>
      <x:c r="B48" s="16" t="n">
        <x:f>IF(ISNUMBER(G48),COUNTIFS($G$7:$G$90,"&gt;"&amp;G48)+COUNTIFS($G$7:G48,G48),"n.a.")</x:f>
        <x:v>38</x:v>
      </x:c>
      <x:c r="C48" s="13" t="str">
        <x:v>1UB3v</x:v>
      </x:c>
      <x:c r="D48" s="13" t="str">
        <x:v>1UB</x:v>
      </x:c>
      <x:c r="E48" s="13" t="str">
        <x:v>Urbaine</x:v>
      </x:c>
      <x:c r="F48" s="13" t="str">
        <x:v>Conditionnelle</x:v>
      </x:c>
      <x:c r="G48" s="14" t="n">
        <x:v>0.1</x:v>
      </x:c>
      <x:c r="H48" s="17" t="str">
        <x:v>10 % de l'unité foncière</x:v>
      </x:c>
      <x:c r="I48" s="17" t="str">
        <x:v>Bâti existant / extension limitée</x:v>
      </x:c>
      <x:c r="J48" s="17" t="str">
        <x:v>Secteur urbain en EVP</x:v>
      </x:c>
      <x:c r="K48" s="17" t="str">
        <x:v>Règles 1UB3</x:v>
      </x:c>
      <x:c r="L48" s="17" t="str">
        <x:v>Espace vert protégé</x:v>
      </x:c>
      <x:c r="M48" s="15" t="n">
        <x:v>20</x:v>
      </x:c>
      <x:c r="N48" s="15" t="n">
        <x:v>3.5</x:v>
      </x:c>
      <x:c r="O48" s="15" t="n">
        <x:v>3</x:v>
      </x:c>
      <x:c r="P48" s="15" t="n">
        <x:v>10</x:v>
      </x:c>
      <x:c r="Q48" s="15" t="n">
        <x:v>1</x:v>
      </x:c>
      <x:c r="R48" s="15" t="n">
        <x:f>SUM(M48:Q48)</x:f>
        <x:v>37.5</x:v>
      </x:c>
      <x:c r="S48" s="11" t="str">
        <x:f>IF(F48="Non","Hors cible",IF(R48&gt;=80,"Priorité 1",IF(R48&gt;=65,"Priorité 2",IF(R48&gt;=45,"Priorité 3","À valider"))))</x:f>
        <x:v>À valider</x:v>
      </x:c>
      <x:c r="T48" s="17" t="str">
        <x:v>Écarter la division foncière intensive</x:v>
      </x:c>
      <x:c r="U48" s="17" t="str">
        <x:v>26-39 ; art. 9 p. 31-32</x:v>
      </x:c>
    </x:row>
    <x:row r="49" ht="48" customHeight="1">
      <x:c r="A49" s="16" t="n">
        <x:f>COUNTIFS($R$7:$R$90,"&gt;"&amp;R49)+COUNTIFS($R$7:R49,R49)</x:f>
        <x:v>43</x:v>
      </x:c>
      <x:c r="B49" s="16" t="n">
        <x:f>IF(ISNUMBER(G49),COUNTIFS($G$7:$G$90,"&gt;"&amp;G49)+COUNTIFS($G$7:G49,G49),"n.a.")</x:f>
        <x:v>39</x:v>
      </x:c>
      <x:c r="C49" s="13" t="str">
        <x:v>3UB2v</x:v>
      </x:c>
      <x:c r="D49" s="13" t="str">
        <x:v>3UB</x:v>
      </x:c>
      <x:c r="E49" s="13" t="str">
        <x:v>Urbaine</x:v>
      </x:c>
      <x:c r="F49" s="13" t="str">
        <x:v>Conditionnelle</x:v>
      </x:c>
      <x:c r="G49" s="14" t="n">
        <x:v>0.1</x:v>
      </x:c>
      <x:c r="H49" s="17" t="str">
        <x:v>10 % de l'unité foncière</x:v>
      </x:c>
      <x:c r="I49" s="17" t="str">
        <x:v>Bâti existant / faible extension</x:v>
      </x:c>
      <x:c r="J49" s="17" t="str">
        <x:v>EVP sur corridor urbain</x:v>
      </x:c>
      <x:c r="K49" s="17" t="str">
        <x:v>HF 6 m ; HT 7,5 m</x:v>
      </x:c>
      <x:c r="L49" s="17" t="str">
        <x:v>Espace vert protégé</x:v>
      </x:c>
      <x:c r="M49" s="15" t="n">
        <x:v>20</x:v>
      </x:c>
      <x:c r="N49" s="15" t="n">
        <x:v>3.5</x:v>
      </x:c>
      <x:c r="O49" s="15" t="n">
        <x:v>3</x:v>
      </x:c>
      <x:c r="P49" s="15" t="n">
        <x:v>10</x:v>
      </x:c>
      <x:c r="Q49" s="15" t="n">
        <x:v>1</x:v>
      </x:c>
      <x:c r="R49" s="15" t="n">
        <x:f>SUM(M49:Q49)</x:f>
        <x:v>37.5</x:v>
      </x:c>
      <x:c r="S49" s="11" t="str">
        <x:f>IF(F49="Non","Hors cible",IF(R49&gt;=80,"Priorité 1",IF(R49&gt;=65,"Priorité 2",IF(R49&gt;=45,"Priorité 3","À valider"))))</x:f>
        <x:v>À valider</x:v>
      </x:c>
      <x:c r="T49" s="17" t="str">
        <x:v>Écarter densification forte</x:v>
      </x:c>
      <x:c r="U49" s="17" t="str">
        <x:v>64-77 ; art. 9 p. 71</x:v>
      </x:c>
    </x:row>
    <x:row r="50" ht="48" customHeight="1">
      <x:c r="A50" s="16" t="n">
        <x:f>COUNTIFS($R$7:$R$90,"&gt;"&amp;R50)+COUNTIFS($R$7:R50,R50)</x:f>
        <x:v>44</x:v>
      </x:c>
      <x:c r="B50" s="16" t="n">
        <x:f>IF(ISNUMBER(G50),COUNTIFS($G$7:$G$90,"&gt;"&amp;G50)+COUNTIFS($G$7:G50,G50),"n.a.")</x:f>
        <x:v>40</x:v>
      </x:c>
      <x:c r="C50" s="13" t="str">
        <x:v>3UB3v</x:v>
      </x:c>
      <x:c r="D50" s="13" t="str">
        <x:v>3UB</x:v>
      </x:c>
      <x:c r="E50" s="13" t="str">
        <x:v>Urbaine</x:v>
      </x:c>
      <x:c r="F50" s="13" t="str">
        <x:v>Conditionnelle</x:v>
      </x:c>
      <x:c r="G50" s="14" t="n">
        <x:v>0.1</x:v>
      </x:c>
      <x:c r="H50" s="17" t="str">
        <x:v>10 % de l'unité foncière</x:v>
      </x:c>
      <x:c r="I50" s="17" t="str">
        <x:v>Bâti existant / faible extension</x:v>
      </x:c>
      <x:c r="J50" s="17" t="str">
        <x:v>EVP sur corridor urbain</x:v>
      </x:c>
      <x:c r="K50" s="17" t="str">
        <x:v>HF 6 m ; HT 7,5 m</x:v>
      </x:c>
      <x:c r="L50" s="17" t="str">
        <x:v>Espace vert protégé</x:v>
      </x:c>
      <x:c r="M50" s="15" t="n">
        <x:v>20</x:v>
      </x:c>
      <x:c r="N50" s="15" t="n">
        <x:v>3.5</x:v>
      </x:c>
      <x:c r="O50" s="15" t="n">
        <x:v>3</x:v>
      </x:c>
      <x:c r="P50" s="15" t="n">
        <x:v>10</x:v>
      </x:c>
      <x:c r="Q50" s="15" t="n">
        <x:v>1</x:v>
      </x:c>
      <x:c r="R50" s="15" t="n">
        <x:f>SUM(M50:Q50)</x:f>
        <x:v>37.5</x:v>
      </x:c>
      <x:c r="S50" s="11" t="str">
        <x:f>IF(F50="Non","Hors cible",IF(R50&gt;=80,"Priorité 1",IF(R50&gt;=65,"Priorité 2",IF(R50&gt;=45,"Priorité 3","À valider"))))</x:f>
        <x:v>À valider</x:v>
      </x:c>
      <x:c r="T50" s="17" t="str">
        <x:v>Validation environnementale préalable</x:v>
      </x:c>
      <x:c r="U50" s="17" t="str">
        <x:v>64-77 ; art. 9 p. 71</x:v>
      </x:c>
    </x:row>
    <x:row r="51" ht="48" customHeight="1">
      <x:c r="A51" s="16" t="n">
        <x:f>COUNTIFS($R$7:$R$90,"&gt;"&amp;R51)+COUNTIFS($R$7:R51,R51)</x:f>
        <x:v>45</x:v>
      </x:c>
      <x:c r="B51" s="16" t="n">
        <x:f>IF(ISNUMBER(G51),COUNTIFS($G$7:$G$90,"&gt;"&amp;G51)+COUNTIFS($G$7:G51,G51),"n.a.")</x:f>
        <x:v>41</x:v>
      </x:c>
      <x:c r="C51" s="13" t="str">
        <x:v>3UB4v</x:v>
      </x:c>
      <x:c r="D51" s="13" t="str">
        <x:v>3UB</x:v>
      </x:c>
      <x:c r="E51" s="13" t="str">
        <x:v>Urbaine</x:v>
      </x:c>
      <x:c r="F51" s="13" t="str">
        <x:v>Conditionnelle</x:v>
      </x:c>
      <x:c r="G51" s="14" t="n">
        <x:v>0.1</x:v>
      </x:c>
      <x:c r="H51" s="17" t="str">
        <x:v>10 % de l'unité foncière</x:v>
      </x:c>
      <x:c r="I51" s="17" t="str">
        <x:v>Bâti existant / faible extension</x:v>
      </x:c>
      <x:c r="J51" s="17" t="str">
        <x:v>EVP</x:v>
      </x:c>
      <x:c r="K51" s="17" t="str">
        <x:v>HF 6 m ; HT 7,5 m</x:v>
      </x:c>
      <x:c r="L51" s="17" t="str">
        <x:v>EVP ; pleine terre 85 %</x:v>
      </x:c>
      <x:c r="M51" s="15" t="n">
        <x:v>20</x:v>
      </x:c>
      <x:c r="N51" s="15" t="n">
        <x:v>3.5</x:v>
      </x:c>
      <x:c r="O51" s="15" t="n">
        <x:v>3</x:v>
      </x:c>
      <x:c r="P51" s="15" t="n">
        <x:v>10</x:v>
      </x:c>
      <x:c r="Q51" s="15" t="n">
        <x:v>1</x:v>
      </x:c>
      <x:c r="R51" s="15" t="n">
        <x:f>SUM(M51:Q51)</x:f>
        <x:v>37.5</x:v>
      </x:c>
      <x:c r="S51" s="11" t="str">
        <x:f>IF(F51="Non","Hors cible",IF(R51&gt;=80,"Priorité 1",IF(R51&gt;=65,"Priorité 2",IF(R51&gt;=45,"Priorité 3","À valider"))))</x:f>
        <x:v>À valider</x:v>
      </x:c>
      <x:c r="T51" s="17" t="str">
        <x:v>Hors cible densification</x:v>
      </x:c>
      <x:c r="U51" s="17" t="str">
        <x:v>64-77 ; art. 9 p. 71</x:v>
      </x:c>
    </x:row>
    <x:row r="52" ht="48" customHeight="1">
      <x:c r="A52" s="16" t="n">
        <x:f>COUNTIFS($R$7:$R$90,"&gt;"&amp;R52)+COUNTIFS($R$7:R52,R52)</x:f>
        <x:v>46</x:v>
      </x:c>
      <x:c r="B52" s="16" t="n">
        <x:f>IF(ISNUMBER(G52),COUNTIFS($G$7:$G$90,"&gt;"&amp;G52)+COUNTIFS($G$7:G52,G52),"n.a.")</x:f>
        <x:v>42</x:v>
      </x:c>
      <x:c r="C52" s="13" t="str">
        <x:v>3UB6v</x:v>
      </x:c>
      <x:c r="D52" s="13" t="str">
        <x:v>3UB</x:v>
      </x:c>
      <x:c r="E52" s="13" t="str">
        <x:v>Urbaine</x:v>
      </x:c>
      <x:c r="F52" s="13" t="str">
        <x:v>Conditionnelle</x:v>
      </x:c>
      <x:c r="G52" s="14" t="n">
        <x:v>0.1</x:v>
      </x:c>
      <x:c r="H52" s="17" t="str">
        <x:v>10 % de l'unité foncière</x:v>
      </x:c>
      <x:c r="I52" s="17" t="str">
        <x:v>Bâti existant / faible extension</x:v>
      </x:c>
      <x:c r="J52" s="17" t="str">
        <x:v>EVP</x:v>
      </x:c>
      <x:c r="K52" s="17" t="str">
        <x:v>HF 6 m ; HT 7,5 m</x:v>
      </x:c>
      <x:c r="L52" s="17" t="str">
        <x:v>EVP ; pleine terre 85 %</x:v>
      </x:c>
      <x:c r="M52" s="15" t="n">
        <x:v>20</x:v>
      </x:c>
      <x:c r="N52" s="15" t="n">
        <x:v>3.5</x:v>
      </x:c>
      <x:c r="O52" s="15" t="n">
        <x:v>3</x:v>
      </x:c>
      <x:c r="P52" s="15" t="n">
        <x:v>10</x:v>
      </x:c>
      <x:c r="Q52" s="15" t="n">
        <x:v>1</x:v>
      </x:c>
      <x:c r="R52" s="15" t="n">
        <x:f>SUM(M52:Q52)</x:f>
        <x:v>37.5</x:v>
      </x:c>
      <x:c r="S52" s="11" t="str">
        <x:f>IF(F52="Non","Hors cible",IF(R52&gt;=80,"Priorité 1",IF(R52&gt;=65,"Priorité 2",IF(R52&gt;=45,"Priorité 3","À valider"))))</x:f>
        <x:v>À valider</x:v>
      </x:c>
      <x:c r="T52" s="17" t="str">
        <x:v>Hors cible densification</x:v>
      </x:c>
      <x:c r="U52" s="17" t="str">
        <x:v>64-77 ; art. 9 p. 71</x:v>
      </x:c>
    </x:row>
    <x:row r="53" ht="48" customHeight="1">
      <x:c r="A53" s="16" t="n">
        <x:f>COUNTIFS($R$7:$R$90,"&gt;"&amp;R53)+COUNTIFS($R$7:R53,R53)</x:f>
        <x:v>47</x:v>
      </x:c>
      <x:c r="B53" s="16" t="n">
        <x:f>IF(ISNUMBER(G53),COUNTIFS($G$7:$G$90,"&gt;"&amp;G53)+COUNTIFS($G$7:G53,G53),"n.a.")</x:f>
        <x:v>43</x:v>
      </x:c>
      <x:c r="C53" s="13" t="str">
        <x:v>3UB7v</x:v>
      </x:c>
      <x:c r="D53" s="13" t="str">
        <x:v>3UB</x:v>
      </x:c>
      <x:c r="E53" s="13" t="str">
        <x:v>Urbaine</x:v>
      </x:c>
      <x:c r="F53" s="13" t="str">
        <x:v>Conditionnelle</x:v>
      </x:c>
      <x:c r="G53" s="14" t="n">
        <x:v>0.1</x:v>
      </x:c>
      <x:c r="H53" s="17" t="str">
        <x:v>10 % de l'unité foncière</x:v>
      </x:c>
      <x:c r="I53" s="17" t="str">
        <x:v>Bâti existant / faible extension</x:v>
      </x:c>
      <x:c r="J53" s="17" t="str">
        <x:v>EVP</x:v>
      </x:c>
      <x:c r="K53" s="17" t="str">
        <x:v>HF 6 m ; HT 7,5 m</x:v>
      </x:c>
      <x:c r="L53" s="17" t="str">
        <x:v>EVP ; pleine terre 85 %</x:v>
      </x:c>
      <x:c r="M53" s="15" t="n">
        <x:v>20</x:v>
      </x:c>
      <x:c r="N53" s="15" t="n">
        <x:v>3.5</x:v>
      </x:c>
      <x:c r="O53" s="15" t="n">
        <x:v>3</x:v>
      </x:c>
      <x:c r="P53" s="15" t="n">
        <x:v>10</x:v>
      </x:c>
      <x:c r="Q53" s="15" t="n">
        <x:v>1</x:v>
      </x:c>
      <x:c r="R53" s="15" t="n">
        <x:f>SUM(M53:Q53)</x:f>
        <x:v>37.5</x:v>
      </x:c>
      <x:c r="S53" s="11" t="str">
        <x:f>IF(F53="Non","Hors cible",IF(R53&gt;=80,"Priorité 1",IF(R53&gt;=65,"Priorité 2",IF(R53&gt;=45,"Priorité 3","À valider"))))</x:f>
        <x:v>À valider</x:v>
      </x:c>
      <x:c r="T53" s="17" t="str">
        <x:v>Hors cible densification</x:v>
      </x:c>
      <x:c r="U53" s="17" t="str">
        <x:v>64-77 ; art. 9 p. 71</x:v>
      </x:c>
    </x:row>
    <x:row r="54" ht="48" customHeight="1">
      <x:c r="A54" s="16" t="n">
        <x:f>COUNTIFS($R$7:$R$90,"&gt;"&amp;R54)+COUNTIFS($R$7:R54,R54)</x:f>
        <x:v>48</x:v>
      </x:c>
      <x:c r="B54" s="16" t="n">
        <x:f>IF(ISNUMBER(G54),COUNTIFS($G$7:$G$90,"&gt;"&amp;G54)+COUNTIFS($G$7:G54,G54),"n.a.")</x:f>
        <x:v>44</x:v>
      </x:c>
      <x:c r="C54" s="13" t="str">
        <x:v>3UB8v</x:v>
      </x:c>
      <x:c r="D54" s="13" t="str">
        <x:v>3UB</x:v>
      </x:c>
      <x:c r="E54" s="13" t="str">
        <x:v>Urbaine</x:v>
      </x:c>
      <x:c r="F54" s="13" t="str">
        <x:v>Conditionnelle</x:v>
      </x:c>
      <x:c r="G54" s="14" t="n">
        <x:v>0.1</x:v>
      </x:c>
      <x:c r="H54" s="17" t="str">
        <x:v>10 % de l'unité foncière</x:v>
      </x:c>
      <x:c r="I54" s="17" t="str">
        <x:v>Bâti existant / faible extension</x:v>
      </x:c>
      <x:c r="J54" s="17" t="str">
        <x:v>EVP</x:v>
      </x:c>
      <x:c r="K54" s="17" t="str">
        <x:v>HF 6 m ; HT 7,5 m</x:v>
      </x:c>
      <x:c r="L54" s="17" t="str">
        <x:v>EVP ; pleine terre 85 %</x:v>
      </x:c>
      <x:c r="M54" s="15" t="n">
        <x:v>20</x:v>
      </x:c>
      <x:c r="N54" s="15" t="n">
        <x:v>3.5</x:v>
      </x:c>
      <x:c r="O54" s="15" t="n">
        <x:v>3</x:v>
      </x:c>
      <x:c r="P54" s="15" t="n">
        <x:v>10</x:v>
      </x:c>
      <x:c r="Q54" s="15" t="n">
        <x:v>1</x:v>
      </x:c>
      <x:c r="R54" s="15" t="n">
        <x:f>SUM(M54:Q54)</x:f>
        <x:v>37.5</x:v>
      </x:c>
      <x:c r="S54" s="11" t="str">
        <x:f>IF(F54="Non","Hors cible",IF(R54&gt;=80,"Priorité 1",IF(R54&gt;=65,"Priorité 2",IF(R54&gt;=45,"Priorité 3","À valider"))))</x:f>
        <x:v>À valider</x:v>
      </x:c>
      <x:c r="T54" s="17" t="str">
        <x:v>Hors cible densification</x:v>
      </x:c>
      <x:c r="U54" s="17" t="str">
        <x:v>64-77 ; art. 9 p. 71</x:v>
      </x:c>
    </x:row>
    <x:row r="55" ht="48" customHeight="1">
      <x:c r="A55" s="16" t="n">
        <x:f>COUNTIFS($R$7:$R$90,"&gt;"&amp;R55)+COUNTIFS($R$7:R55,R55)</x:f>
        <x:v>49</x:v>
      </x:c>
      <x:c r="B55" s="16" t="n">
        <x:f>IF(ISNUMBER(G55),COUNTIFS($G$7:$G$90,"&gt;"&amp;G55)+COUNTIFS($G$7:G55,G55),"n.a.")</x:f>
        <x:v>45</x:v>
      </x:c>
      <x:c r="C55" s="13" t="str">
        <x:v>UD2v</x:v>
      </x:c>
      <x:c r="D55" s="13" t="str">
        <x:v>UD</x:v>
      </x:c>
      <x:c r="E55" s="13" t="str">
        <x:v>Urbaine</x:v>
      </x:c>
      <x:c r="F55" s="13" t="str">
        <x:v>Conditionnelle</x:v>
      </x:c>
      <x:c r="G55" s="14" t="n">
        <x:v>0.1</x:v>
      </x:c>
      <x:c r="H55" s="17" t="str">
        <x:v>10 % de l'unité foncière</x:v>
      </x:c>
      <x:c r="I55" s="17" t="str">
        <x:v>Bâti existant</x:v>
      </x:c>
      <x:c r="J55" s="17" t="str">
        <x:v>Pavillonnaire en EVP</x:v>
      </x:c>
      <x:c r="K55" s="17" t="str">
        <x:v>HF 6 m ; HT 7,5 m</x:v>
      </x:c>
      <x:c r="L55" s="17" t="str">
        <x:v>SPR partiel + EVP ; aucune majoration</x:v>
      </x:c>
      <x:c r="M55" s="15" t="n">
        <x:v>20</x:v>
      </x:c>
      <x:c r="N55" s="15" t="n">
        <x:v>3.5</x:v>
      </x:c>
      <x:c r="O55" s="15" t="n">
        <x:v>3</x:v>
      </x:c>
      <x:c r="P55" s="15" t="n">
        <x:v>10</x:v>
      </x:c>
      <x:c r="Q55" s="15" t="n">
        <x:v>1</x:v>
      </x:c>
      <x:c r="R55" s="15" t="n">
        <x:f>SUM(M55:Q55)</x:f>
        <x:v>37.5</x:v>
      </x:c>
      <x:c r="S55" s="11" t="str">
        <x:f>IF(F55="Non","Hors cible",IF(R55&gt;=80,"Priorité 1",IF(R55&gt;=65,"Priorité 2",IF(R55&gt;=45,"Priorité 3","À valider"))))</x:f>
        <x:v>À valider</x:v>
      </x:c>
      <x:c r="T55" s="17" t="str">
        <x:v>Hors cible densification</x:v>
      </x:c>
      <x:c r="U55" s="17" t="str">
        <x:v>89-101 ; art. 9 p. 95</x:v>
      </x:c>
    </x:row>
    <x:row r="56" ht="48" customHeight="1">
      <x:c r="A56" s="16" t="n">
        <x:f>COUNTIFS($R$7:$R$90,"&gt;"&amp;R56)+COUNTIFS($R$7:R56,R56)</x:f>
        <x:v>50</x:v>
      </x:c>
      <x:c r="B56" s="16" t="n">
        <x:f>IF(ISNUMBER(G56),COUNTIFS($G$7:$G$90,"&gt;"&amp;G56)+COUNTIFS($G$7:G56,G56),"n.a.")</x:f>
        <x:v>46</x:v>
      </x:c>
      <x:c r="C56" s="13" t="str">
        <x:v>UD3v</x:v>
      </x:c>
      <x:c r="D56" s="13" t="str">
        <x:v>UD</x:v>
      </x:c>
      <x:c r="E56" s="13" t="str">
        <x:v>Urbaine</x:v>
      </x:c>
      <x:c r="F56" s="13" t="str">
        <x:v>Conditionnelle</x:v>
      </x:c>
      <x:c r="G56" s="14" t="n">
        <x:v>0.1</x:v>
      </x:c>
      <x:c r="H56" s="17" t="str">
        <x:v>10 % de l'unité foncière</x:v>
      </x:c>
      <x:c r="I56" s="17" t="str">
        <x:v>Bâti existant</x:v>
      </x:c>
      <x:c r="J56" s="17" t="str">
        <x:v>Pavillonnaire en EVP</x:v>
      </x:c>
      <x:c r="K56" s="17" t="str">
        <x:v>HF 6 m ; HT 7,5 m</x:v>
      </x:c>
      <x:c r="L56" s="17" t="str">
        <x:v>EVP ; aucune majoration</x:v>
      </x:c>
      <x:c r="M56" s="15" t="n">
        <x:v>20</x:v>
      </x:c>
      <x:c r="N56" s="15" t="n">
        <x:v>3.5</x:v>
      </x:c>
      <x:c r="O56" s="15" t="n">
        <x:v>3</x:v>
      </x:c>
      <x:c r="P56" s="15" t="n">
        <x:v>10</x:v>
      </x:c>
      <x:c r="Q56" s="15" t="n">
        <x:v>1</x:v>
      </x:c>
      <x:c r="R56" s="15" t="n">
        <x:f>SUM(M56:Q56)</x:f>
        <x:v>37.5</x:v>
      </x:c>
      <x:c r="S56" s="11" t="str">
        <x:f>IF(F56="Non","Hors cible",IF(R56&gt;=80,"Priorité 1",IF(R56&gt;=65,"Priorité 2",IF(R56&gt;=45,"Priorité 3","À valider"))))</x:f>
        <x:v>À valider</x:v>
      </x:c>
      <x:c r="T56" s="17" t="str">
        <x:v>Hors cible densification</x:v>
      </x:c>
      <x:c r="U56" s="17" t="str">
        <x:v>89-101 ; art. 9 p. 95</x:v>
      </x:c>
    </x:row>
    <x:row r="57" ht="48" customHeight="1">
      <x:c r="A57" s="16" t="n">
        <x:f>COUNTIFS($R$7:$R$90,"&gt;"&amp;R57)+COUNTIFS($R$7:R57,R57)</x:f>
        <x:v>51</x:v>
      </x:c>
      <x:c r="B57" s="16" t="n">
        <x:f>IF(ISNUMBER(G57),COUNTIFS($G$7:$G$90,"&gt;"&amp;G57)+COUNTIFS($G$7:G57,G57),"n.a.")</x:f>
        <x:v>47</x:v>
      </x:c>
      <x:c r="C57" s="13" t="str">
        <x:v>UD4v</x:v>
      </x:c>
      <x:c r="D57" s="13" t="str">
        <x:v>UD</x:v>
      </x:c>
      <x:c r="E57" s="13" t="str">
        <x:v>Urbaine</x:v>
      </x:c>
      <x:c r="F57" s="13" t="str">
        <x:v>Conditionnelle</x:v>
      </x:c>
      <x:c r="G57" s="14" t="n">
        <x:v>0.1</x:v>
      </x:c>
      <x:c r="H57" s="17" t="str">
        <x:v>10 % de l'unité foncière</x:v>
      </x:c>
      <x:c r="I57" s="17" t="str">
        <x:v>Bâti existant</x:v>
      </x:c>
      <x:c r="J57" s="17" t="str">
        <x:v>Pavillonnaire en EVP</x:v>
      </x:c>
      <x:c r="K57" s="17" t="str">
        <x:v>HF 6 m ; HT 7,5 m</x:v>
      </x:c>
      <x:c r="L57" s="17" t="str">
        <x:v>EVP ; aucune majoration</x:v>
      </x:c>
      <x:c r="M57" s="15" t="n">
        <x:v>20</x:v>
      </x:c>
      <x:c r="N57" s="15" t="n">
        <x:v>3.5</x:v>
      </x:c>
      <x:c r="O57" s="15" t="n">
        <x:v>3</x:v>
      </x:c>
      <x:c r="P57" s="15" t="n">
        <x:v>10</x:v>
      </x:c>
      <x:c r="Q57" s="15" t="n">
        <x:v>1</x:v>
      </x:c>
      <x:c r="R57" s="15" t="n">
        <x:f>SUM(M57:Q57)</x:f>
        <x:v>37.5</x:v>
      </x:c>
      <x:c r="S57" s="11" t="str">
        <x:f>IF(F57="Non","Hors cible",IF(R57&gt;=80,"Priorité 1",IF(R57&gt;=65,"Priorité 2",IF(R57&gt;=45,"Priorité 3","À valider"))))</x:f>
        <x:v>À valider</x:v>
      </x:c>
      <x:c r="T57" s="17" t="str">
        <x:v>Hors cible densification</x:v>
      </x:c>
      <x:c r="U57" s="17" t="str">
        <x:v>89-101 ; art. 9 p. 95</x:v>
      </x:c>
    </x:row>
    <x:row r="58" ht="48" customHeight="1">
      <x:c r="A58" s="16" t="n">
        <x:f>COUNTIFS($R$7:$R$90,"&gt;"&amp;R58)+COUNTIFS($R$7:R58,R58)</x:f>
        <x:v>52</x:v>
      </x:c>
      <x:c r="B58" s="16" t="n">
        <x:f>IF(ISNUMBER(G58),COUNTIFS($G$7:$G$90,"&gt;"&amp;G58)+COUNTIFS($G$7:G58,G58),"n.a.")</x:f>
        <x:v>55</x:v>
      </x:c>
      <x:c r="C58" s="13" t="str">
        <x:v>UD1v</x:v>
      </x:c>
      <x:c r="D58" s="13" t="str">
        <x:v>UD</x:v>
      </x:c>
      <x:c r="E58" s="13" t="str">
        <x:v>Urbaine</x:v>
      </x:c>
      <x:c r="F58" s="13" t="str">
        <x:v>Conditionnelle</x:v>
      </x:c>
      <x:c r="G58" s="14" t="n">
        <x:v>0.08</x:v>
      </x:c>
      <x:c r="H58" s="17" t="str">
        <x:v>8 % de l'unité foncière</x:v>
      </x:c>
      <x:c r="I58" s="17" t="str">
        <x:v>Bâti existant</x:v>
      </x:c>
      <x:c r="J58" s="17" t="str">
        <x:v>Mont Saint-Clair en EVP</x:v>
      </x:c>
      <x:c r="K58" s="17" t="str">
        <x:v>HF 6 m ; HT 7,5 m</x:v>
      </x:c>
      <x:c r="L58" s="17" t="str">
        <x:v>SPR + EVP ; aucune majoration</x:v>
      </x:c>
      <x:c r="M58" s="15" t="n">
        <x:v>20</x:v>
      </x:c>
      <x:c r="N58" s="15" t="n">
        <x:v>2.8</x:v>
      </x:c>
      <x:c r="O58" s="15" t="n">
        <x:v>3</x:v>
      </x:c>
      <x:c r="P58" s="15" t="n">
        <x:v>10</x:v>
      </x:c>
      <x:c r="Q58" s="15" t="n">
        <x:v>1</x:v>
      </x:c>
      <x:c r="R58" s="15" t="n">
        <x:f>SUM(M58:Q58)</x:f>
        <x:v>36.8</x:v>
      </x:c>
      <x:c r="S58" s="11" t="str">
        <x:f>IF(F58="Non","Hors cible",IF(R58&gt;=80,"Priorité 1",IF(R58&gt;=65,"Priorité 2",IF(R58&gt;=45,"Priorité 3","À valider"))))</x:f>
        <x:v>À valider</x:v>
      </x:c>
      <x:c r="T58" s="17" t="str">
        <x:v>Écarter densification ; vérifier bâti existant</x:v>
      </x:c>
      <x:c r="U58" s="17" t="str">
        <x:v>89-101 ; art. 9 p. 95</x:v>
      </x:c>
    </x:row>
    <x:row r="59" ht="48" customHeight="1">
      <x:c r="A59" s="16" t="n">
        <x:f>COUNTIFS($R$7:$R$90,"&gt;"&amp;R59)+COUNTIFS($R$7:R59,R59)</x:f>
        <x:v>53</x:v>
      </x:c>
      <x:c r="B59" s="16" t="n">
        <x:f>IF(ISNUMBER(G59),COUNTIFS($G$7:$G$90,"&gt;"&amp;G59)+COUNTIFS($G$7:G59,G59),"n.a.")</x:f>
        <x:v>48</x:v>
      </x:c>
      <x:c r="C59" s="13" t="str">
        <x:v>UC3v</x:v>
      </x:c>
      <x:c r="D59" s="13" t="str">
        <x:v>UC</x:v>
      </x:c>
      <x:c r="E59" s="13" t="str">
        <x:v>Urbaine</x:v>
      </x:c>
      <x:c r="F59" s="13" t="str">
        <x:v>Conditionnelle</x:v>
      </x:c>
      <x:c r="G59" s="14" t="n">
        <x:v>0.1</x:v>
      </x:c>
      <x:c r="H59" s="17" t="str">
        <x:v>10 % de l'unité foncière</x:v>
      </x:c>
      <x:c r="I59" s="17" t="str">
        <x:v>Extension limitée</x:v>
      </x:c>
      <x:c r="J59" s="17" t="str">
        <x:v>EVP</x:v>
      </x:c>
      <x:c r="K59" s="17" t="str">
        <x:v>Règles UC3</x:v>
      </x:c>
      <x:c r="L59" s="17" t="str">
        <x:v>EVP ; dominante végétale</x:v>
      </x:c>
      <x:c r="M59" s="15" t="n">
        <x:v>18</x:v>
      </x:c>
      <x:c r="N59" s="15" t="n">
        <x:v>3.5</x:v>
      </x:c>
      <x:c r="O59" s="15" t="n">
        <x:v>3</x:v>
      </x:c>
      <x:c r="P59" s="15" t="n">
        <x:v>10</x:v>
      </x:c>
      <x:c r="Q59" s="15" t="n">
        <x:v>1</x:v>
      </x:c>
      <x:c r="R59" s="15" t="n">
        <x:f>SUM(M59:Q59)</x:f>
        <x:v>35.5</x:v>
      </x:c>
      <x:c r="S59" s="11" t="str">
        <x:f>IF(F59="Non","Hors cible",IF(R59&gt;=80,"Priorité 1",IF(R59&gt;=65,"Priorité 2",IF(R59&gt;=45,"Priorité 3","À valider"))))</x:f>
        <x:v>À valider</x:v>
      </x:c>
      <x:c r="T59" s="17" t="str">
        <x:v>Hors cible densification</x:v>
      </x:c>
      <x:c r="U59" s="17" t="str">
        <x:v>78-88 ; art. 9 p. 83</x:v>
      </x:c>
    </x:row>
    <x:row r="60" ht="48" customHeight="1">
      <x:c r="A60" s="16" t="n">
        <x:f>COUNTIFS($R$7:$R$90,"&gt;"&amp;R60)+COUNTIFS($R$7:R60,R60)</x:f>
        <x:v>54</x:v>
      </x:c>
      <x:c r="B60" s="16" t="n">
        <x:f>IF(ISNUMBER(G60),COUNTIFS($G$7:$G$90,"&gt;"&amp;G60)+COUNTIFS($G$7:G60,G60),"n.a.")</x:f>
        <x:v>49</x:v>
      </x:c>
      <x:c r="C60" s="13" t="str">
        <x:v>UC4av</x:v>
      </x:c>
      <x:c r="D60" s="13" t="str">
        <x:v>UC</x:v>
      </x:c>
      <x:c r="E60" s="13" t="str">
        <x:v>Urbaine</x:v>
      </x:c>
      <x:c r="F60" s="13" t="str">
        <x:v>Conditionnelle</x:v>
      </x:c>
      <x:c r="G60" s="14" t="n">
        <x:v>0.1</x:v>
      </x:c>
      <x:c r="H60" s="17" t="str">
        <x:v>10 % de l'unité foncière</x:v>
      </x:c>
      <x:c r="I60" s="17" t="str">
        <x:v>Extension limitée</x:v>
      </x:c>
      <x:c r="J60" s="17" t="str">
        <x:v>EVP</x:v>
      </x:c>
      <x:c r="K60" s="17" t="str">
        <x:v>Règles UC4a</x:v>
      </x:c>
      <x:c r="L60" s="17" t="str">
        <x:v>EVP ; dominante végétale</x:v>
      </x:c>
      <x:c r="M60" s="15" t="n">
        <x:v>18</x:v>
      </x:c>
      <x:c r="N60" s="15" t="n">
        <x:v>3.5</x:v>
      </x:c>
      <x:c r="O60" s="15" t="n">
        <x:v>3</x:v>
      </x:c>
      <x:c r="P60" s="15" t="n">
        <x:v>10</x:v>
      </x:c>
      <x:c r="Q60" s="15" t="n">
        <x:v>1</x:v>
      </x:c>
      <x:c r="R60" s="15" t="n">
        <x:f>SUM(M60:Q60)</x:f>
        <x:v>35.5</x:v>
      </x:c>
      <x:c r="S60" s="11" t="str">
        <x:f>IF(F60="Non","Hors cible",IF(R60&gt;=80,"Priorité 1",IF(R60&gt;=65,"Priorité 2",IF(R60&gt;=45,"Priorité 3","À valider"))))</x:f>
        <x:v>À valider</x:v>
      </x:c>
      <x:c r="T60" s="17" t="str">
        <x:v>Hors cible densification</x:v>
      </x:c>
      <x:c r="U60" s="17" t="str">
        <x:v>78-88 ; art. 9 p. 83</x:v>
      </x:c>
    </x:row>
    <x:row r="61" ht="48" customHeight="1">
      <x:c r="A61" s="16" t="n">
        <x:f>COUNTIFS($R$7:$R$90,"&gt;"&amp;R61)+COUNTIFS($R$7:R61,R61)</x:f>
        <x:v>55</x:v>
      </x:c>
      <x:c r="B61" s="16" t="n">
        <x:f>IF(ISNUMBER(G61),COUNTIFS($G$7:$G$90,"&gt;"&amp;G61)+COUNTIFS($G$7:G61,G61),"n.a.")</x:f>
        <x:v>50</x:v>
      </x:c>
      <x:c r="C61" s="13" t="str">
        <x:v>UC4bv</x:v>
      </x:c>
      <x:c r="D61" s="13" t="str">
        <x:v>UC</x:v>
      </x:c>
      <x:c r="E61" s="13" t="str">
        <x:v>Urbaine</x:v>
      </x:c>
      <x:c r="F61" s="13" t="str">
        <x:v>Conditionnelle</x:v>
      </x:c>
      <x:c r="G61" s="14" t="n">
        <x:v>0.1</x:v>
      </x:c>
      <x:c r="H61" s="17" t="str">
        <x:v>10 % de l'unité foncière</x:v>
      </x:c>
      <x:c r="I61" s="17" t="str">
        <x:v>Extension limitée</x:v>
      </x:c>
      <x:c r="J61" s="17" t="str">
        <x:v>EVP</x:v>
      </x:c>
      <x:c r="K61" s="17" t="str">
        <x:v>Règles UC4b</x:v>
      </x:c>
      <x:c r="L61" s="17" t="str">
        <x:v>EVP ; dominante végétale</x:v>
      </x:c>
      <x:c r="M61" s="15" t="n">
        <x:v>18</x:v>
      </x:c>
      <x:c r="N61" s="15" t="n">
        <x:v>3.5</x:v>
      </x:c>
      <x:c r="O61" s="15" t="n">
        <x:v>3</x:v>
      </x:c>
      <x:c r="P61" s="15" t="n">
        <x:v>10</x:v>
      </x:c>
      <x:c r="Q61" s="15" t="n">
        <x:v>1</x:v>
      </x:c>
      <x:c r="R61" s="15" t="n">
        <x:f>SUM(M61:Q61)</x:f>
        <x:v>35.5</x:v>
      </x:c>
      <x:c r="S61" s="11" t="str">
        <x:f>IF(F61="Non","Hors cible",IF(R61&gt;=80,"Priorité 1",IF(R61&gt;=65,"Priorité 2",IF(R61&gt;=45,"Priorité 3","À valider"))))</x:f>
        <x:v>À valider</x:v>
      </x:c>
      <x:c r="T61" s="17" t="str">
        <x:v>Hors cible densification</x:v>
      </x:c>
      <x:c r="U61" s="17" t="str">
        <x:v>78-88 ; art. 9 p. 83</x:v>
      </x:c>
    </x:row>
    <x:row r="62" ht="48" customHeight="1">
      <x:c r="A62" s="16" t="n">
        <x:f>COUNTIFS($R$7:$R$90,"&gt;"&amp;R62)+COUNTIFS($R$7:R62,R62)</x:f>
        <x:v>56</x:v>
      </x:c>
      <x:c r="B62" s="16" t="n">
        <x:f>IF(ISNUMBER(G62),COUNTIFS($G$7:$G$90,"&gt;"&amp;G62)+COUNTIFS($G$7:G62,G62),"n.a.")</x:f>
        <x:v>51</x:v>
      </x:c>
      <x:c r="C62" s="13" t="str">
        <x:v>UC4cv</x:v>
      </x:c>
      <x:c r="D62" s="13" t="str">
        <x:v>UC</x:v>
      </x:c>
      <x:c r="E62" s="13" t="str">
        <x:v>Urbaine</x:v>
      </x:c>
      <x:c r="F62" s="13" t="str">
        <x:v>Conditionnelle</x:v>
      </x:c>
      <x:c r="G62" s="14" t="n">
        <x:v>0.1</x:v>
      </x:c>
      <x:c r="H62" s="17" t="str">
        <x:v>10 % de l'unité foncière</x:v>
      </x:c>
      <x:c r="I62" s="17" t="str">
        <x:v>Extension limitée</x:v>
      </x:c>
      <x:c r="J62" s="17" t="str">
        <x:v>EVP</x:v>
      </x:c>
      <x:c r="K62" s="17" t="str">
        <x:v>Règles UC4c</x:v>
      </x:c>
      <x:c r="L62" s="17" t="str">
        <x:v>EVP</x:v>
      </x:c>
      <x:c r="M62" s="15" t="n">
        <x:v>18</x:v>
      </x:c>
      <x:c r="N62" s="15" t="n">
        <x:v>3.5</x:v>
      </x:c>
      <x:c r="O62" s="15" t="n">
        <x:v>3</x:v>
      </x:c>
      <x:c r="P62" s="15" t="n">
        <x:v>10</x:v>
      </x:c>
      <x:c r="Q62" s="15" t="n">
        <x:v>1</x:v>
      </x:c>
      <x:c r="R62" s="15" t="n">
        <x:f>SUM(M62:Q62)</x:f>
        <x:v>35.5</x:v>
      </x:c>
      <x:c r="S62" s="11" t="str">
        <x:f>IF(F62="Non","Hors cible",IF(R62&gt;=80,"Priorité 1",IF(R62&gt;=65,"Priorité 2",IF(R62&gt;=45,"Priorité 3","À valider"))))</x:f>
        <x:v>À valider</x:v>
      </x:c>
      <x:c r="T62" s="17" t="str">
        <x:v>Hors cible densification</x:v>
      </x:c>
      <x:c r="U62" s="17" t="str">
        <x:v>78-88 ; art. 9 p. 83</x:v>
      </x:c>
    </x:row>
    <x:row r="63" ht="48" customHeight="1">
      <x:c r="A63" s="16" t="n">
        <x:f>COUNTIFS($R$7:$R$90,"&gt;"&amp;R63)+COUNTIFS($R$7:R63,R63)</x:f>
        <x:v>57</x:v>
      </x:c>
      <x:c r="B63" s="16" t="n">
        <x:f>IF(ISNUMBER(G63),COUNTIFS($G$7:$G$90,"&gt;"&amp;G63)+COUNTIFS($G$7:G63,G63),"n.a.")</x:f>
        <x:v>52</x:v>
      </x:c>
      <x:c r="C63" s="13" t="str">
        <x:v>UC4dv</x:v>
      </x:c>
      <x:c r="D63" s="13" t="str">
        <x:v>UC</x:v>
      </x:c>
      <x:c r="E63" s="13" t="str">
        <x:v>Urbaine</x:v>
      </x:c>
      <x:c r="F63" s="13" t="str">
        <x:v>Conditionnelle</x:v>
      </x:c>
      <x:c r="G63" s="14" t="n">
        <x:v>0.1</x:v>
      </x:c>
      <x:c r="H63" s="17" t="str">
        <x:v>10 % de l'unité foncière</x:v>
      </x:c>
      <x:c r="I63" s="17" t="str">
        <x:v>Extension limitée</x:v>
      </x:c>
      <x:c r="J63" s="17" t="str">
        <x:v>EVP</x:v>
      </x:c>
      <x:c r="K63" s="17" t="str">
        <x:v>Règles UC4d</x:v>
      </x:c>
      <x:c r="L63" s="17" t="str">
        <x:v>EVP</x:v>
      </x:c>
      <x:c r="M63" s="15" t="n">
        <x:v>18</x:v>
      </x:c>
      <x:c r="N63" s="15" t="n">
        <x:v>3.5</x:v>
      </x:c>
      <x:c r="O63" s="15" t="n">
        <x:v>3</x:v>
      </x:c>
      <x:c r="P63" s="15" t="n">
        <x:v>10</x:v>
      </x:c>
      <x:c r="Q63" s="15" t="n">
        <x:v>1</x:v>
      </x:c>
      <x:c r="R63" s="15" t="n">
        <x:f>SUM(M63:Q63)</x:f>
        <x:v>35.5</x:v>
      </x:c>
      <x:c r="S63" s="11" t="str">
        <x:f>IF(F63="Non","Hors cible",IF(R63&gt;=80,"Priorité 1",IF(R63&gt;=65,"Priorité 2",IF(R63&gt;=45,"Priorité 3","À valider"))))</x:f>
        <x:v>À valider</x:v>
      </x:c>
      <x:c r="T63" s="17" t="str">
        <x:v>Hors cible densification</x:v>
      </x:c>
      <x:c r="U63" s="17" t="str">
        <x:v>78-88 ; art. 9 p. 83</x:v>
      </x:c>
    </x:row>
    <x:row r="64" ht="48" customHeight="1">
      <x:c r="A64" s="16" t="n">
        <x:f>COUNTIFS($R$7:$R$90,"&gt;"&amp;R64)+COUNTIFS($R$7:R64,R64)</x:f>
        <x:v>58</x:v>
      </x:c>
      <x:c r="B64" s="16" t="n">
        <x:f>IF(ISNUMBER(G64),COUNTIFS($G$7:$G$90,"&gt;"&amp;G64)+COUNTIFS($G$7:G64,G64),"n.a.")</x:f>
        <x:v>53</x:v>
      </x:c>
      <x:c r="C64" s="13" t="str">
        <x:v>UC2v</x:v>
      </x:c>
      <x:c r="D64" s="13" t="str">
        <x:v>UC</x:v>
      </x:c>
      <x:c r="E64" s="13" t="str">
        <x:v>Urbaine</x:v>
      </x:c>
      <x:c r="F64" s="13" t="str">
        <x:v>Conditionnelle</x:v>
      </x:c>
      <x:c r="G64" s="14" t="n">
        <x:v>0.1</x:v>
      </x:c>
      <x:c r="H64" s="17" t="str">
        <x:v>10 % de l'unité foncière</x:v>
      </x:c>
      <x:c r="I64" s="17" t="str">
        <x:v>Extension limitée</x:v>
      </x:c>
      <x:c r="J64" s="17" t="str">
        <x:v>EVP à dominante végétale</x:v>
      </x:c>
      <x:c r="K64" s="17" t="str">
        <x:v>Règles UC2</x:v>
      </x:c>
      <x:c r="L64" s="17" t="str">
        <x:v>EVP ; dominante végétale à préserver</x:v>
      </x:c>
      <x:c r="M64" s="15" t="n">
        <x:v>15</x:v>
      </x:c>
      <x:c r="N64" s="15" t="n">
        <x:v>3.5</x:v>
      </x:c>
      <x:c r="O64" s="15" t="n">
        <x:v>3</x:v>
      </x:c>
      <x:c r="P64" s="15" t="n">
        <x:v>10</x:v>
      </x:c>
      <x:c r="Q64" s="15" t="n">
        <x:v>1</x:v>
      </x:c>
      <x:c r="R64" s="15" t="n">
        <x:f>SUM(M64:Q64)</x:f>
        <x:v>32.5</x:v>
      </x:c>
      <x:c r="S64" s="11" t="str">
        <x:f>IF(F64="Non","Hors cible",IF(R64&gt;=80,"Priorité 1",IF(R64&gt;=65,"Priorité 2",IF(R64&gt;=45,"Priorité 3","À valider"))))</x:f>
        <x:v>À valider</x:v>
      </x:c>
      <x:c r="T64" s="17" t="str">
        <x:v>Hors cible sauf bâti existant</x:v>
      </x:c>
      <x:c r="U64" s="17" t="str">
        <x:v>78-88 ; art. 9 p. 83</x:v>
      </x:c>
    </x:row>
    <x:row r="65" ht="48" customHeight="1">
      <x:c r="A65" s="16" t="n">
        <x:f>COUNTIFS($R$7:$R$90,"&gt;"&amp;R65)+COUNTIFS($R$7:R65,R65)</x:f>
        <x:v>59</x:v>
      </x:c>
      <x:c r="B65" s="16" t="n">
        <x:f>IF(ISNUMBER(G65),COUNTIFS($G$7:$G$90,"&gt;"&amp;G65)+COUNTIFS($G$7:G65,G65),"n.a.")</x:f>
        <x:v>54</x:v>
      </x:c>
      <x:c r="C65" s="13" t="str">
        <x:v>3UB9v</x:v>
      </x:c>
      <x:c r="D65" s="13" t="str">
        <x:v>3UB</x:v>
      </x:c>
      <x:c r="E65" s="13" t="str">
        <x:v>Urbaine</x:v>
      </x:c>
      <x:c r="F65" s="13" t="str">
        <x:v>Conditionnelle</x:v>
      </x:c>
      <x:c r="G65" s="14" t="n">
        <x:v>0.1</x:v>
      </x:c>
      <x:c r="H65" s="17" t="str">
        <x:v>10 % probable ; le texte imprime 3UB9 au lieu de 3UB9v</x:v>
      </x:c>
      <x:c r="I65" s="17" t="str">
        <x:v>Bâti existant / faible extension</x:v>
      </x:c>
      <x:c r="J65" s="17" t="str">
        <x:v>EVP probable</x:v>
      </x:c>
      <x:c r="K65" s="17" t="str">
        <x:v>HF 6 m ; HT 7,5 m</x:v>
      </x:c>
      <x:c r="L65" s="17" t="str">
        <x:v>Correction réglementaire à confirmer</x:v>
      </x:c>
      <x:c r="M65" s="15" t="n">
        <x:v>18</x:v>
      </x:c>
      <x:c r="N65" s="15" t="n">
        <x:v>3.5</x:v>
      </x:c>
      <x:c r="O65" s="15" t="n">
        <x:v>3</x:v>
      </x:c>
      <x:c r="P65" s="15" t="n">
        <x:v>4</x:v>
      </x:c>
      <x:c r="Q65" s="15" t="n">
        <x:v>1</x:v>
      </x:c>
      <x:c r="R65" s="15" t="n">
        <x:f>SUM(M65:Q65)</x:f>
        <x:v>29.5</x:v>
      </x:c>
      <x:c r="S65" s="11" t="str">
        <x:f>IF(F65="Non","Hors cible",IF(R65&gt;=80,"Priorité 1",IF(R65&gt;=65,"Priorité 2",IF(R65&gt;=45,"Priorité 3","À valider"))))</x:f>
        <x:v>À valider</x:v>
      </x:c>
      <x:c r="T65" s="17" t="str">
        <x:v>Ne pas valoriser sans certificat d'urbanisme opérationnel</x:v>
      </x:c>
      <x:c r="U65" s="17" t="str">
        <x:v>64-77 ; art. 9 p. 71</x:v>
      </x:c>
    </x:row>
    <x:row r="66" ht="48" customHeight="1">
      <x:c r="A66" s="16" t="n">
        <x:f>COUNTIFS($R$7:$R$90,"&gt;"&amp;R66)+COUNTIFS($R$7:R66,R66)</x:f>
        <x:v>60</x:v>
      </x:c>
      <x:c r="B66" s="16" t="str">
        <x:f>IF(ISNUMBER(G66),COUNTIFS($G$7:$G$90,"&gt;"&amp;G66)+COUNTIFS($G$7:G66,G66),"n.a.")</x:f>
        <x:v>n.a.</x:v>
      </x:c>
      <x:c r="C66" s="13" t="str">
        <x:v>UA4v</x:v>
      </x:c>
      <x:c r="D66" s="13" t="str">
        <x:v>UA</x:v>
      </x:c>
      <x:c r="E66" s="13" t="str">
        <x:v>Urbaine</x:v>
      </x:c>
      <x:c r="F66" s="13" t="str">
        <x:v>Conditionnelle</x:v>
      </x:c>
      <x:c r="G66" s="14"/>
      <x:c r="H66" s="17" t="str">
        <x:v>Coefficient absent de l'article 9</x:v>
      </x:c>
      <x:c r="I66" s="17" t="str">
        <x:v>Bâti existant seulement</x:v>
      </x:c>
      <x:c r="J66" s="17" t="str">
        <x:v>Espace vert protégé</x:v>
      </x:c>
      <x:c r="K66" s="17" t="str">
        <x:v>Règles UA à recouper</x:v>
      </x:c>
      <x:c r="L66" s="17" t="str">
        <x:v>EVP ; droit à construire minoré ; règle d'emprise non explicite</x:v>
      </x:c>
      <x:c r="M66" s="15" t="n">
        <x:v>20</x:v>
      </x:c>
      <x:c r="N66" s="15" t="n">
        <x:v>0</x:v>
      </x:c>
      <x:c r="O66" s="15" t="n">
        <x:v>3</x:v>
      </x:c>
      <x:c r="P66" s="15" t="n">
        <x:v>2</x:v>
      </x:c>
      <x:c r="Q66" s="15" t="n">
        <x:v>1</x:v>
      </x:c>
      <x:c r="R66" s="15" t="n">
        <x:f>SUM(M66:Q66)</x:f>
        <x:v>26</x:v>
      </x:c>
      <x:c r="S66" s="11" t="str">
        <x:f>IF(F66="Non","Hors cible",IF(R66&gt;=80,"Priorité 1",IF(R66&gt;=65,"Priorité 2",IF(R66&gt;=45,"Priorité 3","À valider"))))</x:f>
        <x:v>À valider</x:v>
      </x:c>
      <x:c r="T66" s="17" t="str">
        <x:v>Validation écrite du service urbanisme indispensable</x:v>
      </x:c>
      <x:c r="U66" s="17" t="str">
        <x:v>16, 21</x:v>
      </x:c>
    </x:row>
    <x:row r="67" ht="48" customHeight="1">
      <x:c r="A67" s="16" t="n">
        <x:f>COUNTIFS($R$7:$R$90,"&gt;"&amp;R67)+COUNTIFS($R$7:R67,R67)</x:f>
        <x:v>61</x:v>
      </x:c>
      <x:c r="B67" s="16" t="str">
        <x:f>IF(ISNUMBER(G67),COUNTIFS($G$7:$G$90,"&gt;"&amp;G67)+COUNTIFS($G$7:G67,G67),"n.a.")</x:f>
        <x:v>n.a.</x:v>
      </x:c>
      <x:c r="C67" s="13" t="str">
        <x:v>UC5a</x:v>
      </x:c>
      <x:c r="D67" s="13" t="str">
        <x:v>UC</x:v>
      </x:c>
      <x:c r="E67" s="13" t="str">
        <x:v>Urbaine</x:v>
      </x:c>
      <x:c r="F67" s="13" t="str">
        <x:v>Conditionnelle</x:v>
      </x:c>
      <x:c r="G67" s="14"/>
      <x:c r="H67" s="17" t="str">
        <x:v>Coefficient absent de l'article 9</x:v>
      </x:c>
      <x:c r="I67" s="17" t="str">
        <x:v>Mutation à confirmer</x:v>
      </x:c>
      <x:c r="J67" s="17" t="str">
        <x:v>Secteur cité aux articles 10 et 13 mais absent du préambule</x:v>
      </x:c>
      <x:c r="K67" s="17" t="str">
        <x:v>HF 12,5 m ; HT 14,5 m</x:v>
      </x:c>
      <x:c r="L67" s="17" t="str">
        <x:v>Zonage et règle d'emprise incomplets</x:v>
      </x:c>
      <x:c r="M67" s="15" t="n">
        <x:v>10</x:v>
      </x:c>
      <x:c r="N67" s="15" t="n">
        <x:v>0</x:v>
      </x:c>
      <x:c r="O67" s="15" t="n">
        <x:v>3</x:v>
      </x:c>
      <x:c r="P67" s="15" t="n">
        <x:v>2</x:v>
      </x:c>
      <x:c r="Q67" s="15" t="n">
        <x:v>4</x:v>
      </x:c>
      <x:c r="R67" s="15" t="n">
        <x:f>SUM(M67:Q67)</x:f>
        <x:v>19</x:v>
      </x:c>
      <x:c r="S67" s="11" t="str">
        <x:f>IF(F67="Non","Hors cible",IF(R67&gt;=80,"Priorité 1",IF(R67&gt;=65,"Priorité 2",IF(R67&gt;=45,"Priorité 3","À valider"))))</x:f>
        <x:v>À valider</x:v>
      </x:c>
      <x:c r="T67" s="17" t="str">
        <x:v>Validation écrite du zonage et de l'emprise</x:v>
      </x:c>
      <x:c r="U67" s="17" t="str">
        <x:v>84, 88</x:v>
      </x:c>
    </x:row>
    <x:row r="68" ht="48" customHeight="1">
      <x:c r="A68" s="16" t="n">
        <x:f>COUNTIFS($R$7:$R$90,"&gt;"&amp;R68)+COUNTIFS($R$7:R68,R68)</x:f>
        <x:v>62</x:v>
      </x:c>
      <x:c r="B68" s="16" t="str">
        <x:f>IF(ISNUMBER(G68),COUNTIFS($G$7:$G$90,"&gt;"&amp;G68)+COUNTIFS($G$7:G68,G68),"n.a.")</x:f>
        <x:v>n.a.</x:v>
      </x:c>
      <x:c r="C68" s="13" t="str">
        <x:v>UEa</x:v>
      </x:c>
      <x:c r="D68" s="13" t="str">
        <x:v>UE</x:v>
      </x:c>
      <x:c r="E68" s="13" t="str">
        <x:v>Urbaine économique</x:v>
      </x:c>
      <x:c r="F68" s="13" t="str">
        <x:v>Non</x:v>
      </x:c>
      <x:c r="G68" s="14"/>
      <x:c r="H68" s="17" t="str">
        <x:v>Emprise non réglementée</x:v>
      </x:c>
      <x:c r="I68" s="17" t="str">
        <x:v>Actif économique</x:v>
      </x:c>
      <x:c r="J68" s="17" t="str">
        <x:v>Zone d'activités</x:v>
      </x:c>
      <x:c r="K68" s="17" t="str">
        <x:v>HF 16,5 m ; HT 19 m</x:v>
      </x:c>
      <x:c r="L68" s="17" t="str">
        <x:v>Activités économiques ; habitation et extensions interdites</x:v>
      </x:c>
      <x:c r="M68" s="15" t="n">
        <x:v>0</x:v>
      </x:c>
      <x:c r="N68" s="15" t="n">
        <x:v>0</x:v>
      </x:c>
      <x:c r="O68" s="15" t="n">
        <x:v>0</x:v>
      </x:c>
      <x:c r="P68" s="15" t="n">
        <x:v>10</x:v>
      </x:c>
      <x:c r="Q68" s="15" t="n">
        <x:v>4</x:v>
      </x:c>
      <x:c r="R68" s="15" t="n">
        <x:f>SUM(M68:Q68)</x:f>
        <x:v>14</x:v>
      </x:c>
      <x:c r="S68" s="11" t="str">
        <x:f>IF(F68="Non","Hors cible",IF(R68&gt;=80,"Priorité 1",IF(R68&gt;=65,"Priorité 2",IF(R68&gt;=45,"Priorité 3","À valider"))))</x:f>
        <x:v>Hors cible</x:v>
      </x:c>
      <x:c r="T68" s="17" t="str">
        <x:v>Exclure de la prospection de maisons</x:v>
      </x:c>
      <x:c r="U68" s="17" t="str">
        <x:v>113-121 ; art. 9 p. 117</x:v>
      </x:c>
    </x:row>
    <x:row r="69" ht="48" customHeight="1">
      <x:c r="A69" s="16" t="n">
        <x:f>COUNTIFS($R$7:$R$90,"&gt;"&amp;R69)+COUNTIFS($R$7:R69,R69)</x:f>
        <x:v>63</x:v>
      </x:c>
      <x:c r="B69" s="16" t="str">
        <x:f>IF(ISNUMBER(G69),COUNTIFS($G$7:$G$90,"&gt;"&amp;G69)+COUNTIFS($G$7:G69,G69),"n.a.")</x:f>
        <x:v>n.a.</x:v>
      </x:c>
      <x:c r="C69" s="13" t="str">
        <x:v>UEb</x:v>
      </x:c>
      <x:c r="D69" s="13" t="str">
        <x:v>UE</x:v>
      </x:c>
      <x:c r="E69" s="13" t="str">
        <x:v>Urbaine économique</x:v>
      </x:c>
      <x:c r="F69" s="13" t="str">
        <x:v>Non</x:v>
      </x:c>
      <x:c r="G69" s="14"/>
      <x:c r="H69" s="17" t="str">
        <x:v>Emprise non réglementée</x:v>
      </x:c>
      <x:c r="I69" s="17" t="str">
        <x:v>Actif économique</x:v>
      </x:c>
      <x:c r="J69" s="17" t="str">
        <x:v>Zone d'activités</x:v>
      </x:c>
      <x:c r="K69" s="17" t="str">
        <x:v>HF 12 m ; HT 16 m</x:v>
      </x:c>
      <x:c r="L69" s="17" t="str">
        <x:v>Activités artisanales/tertiaires ; SPR</x:v>
      </x:c>
      <x:c r="M69" s="15" t="n">
        <x:v>0</x:v>
      </x:c>
      <x:c r="N69" s="15" t="n">
        <x:v>0</x:v>
      </x:c>
      <x:c r="O69" s="15" t="n">
        <x:v>0</x:v>
      </x:c>
      <x:c r="P69" s="15" t="n">
        <x:v>10</x:v>
      </x:c>
      <x:c r="Q69" s="15" t="n">
        <x:v>4</x:v>
      </x:c>
      <x:c r="R69" s="15" t="n">
        <x:f>SUM(M69:Q69)</x:f>
        <x:v>14</x:v>
      </x:c>
      <x:c r="S69" s="11" t="str">
        <x:f>IF(F69="Non","Hors cible",IF(R69&gt;=80,"Priorité 1",IF(R69&gt;=65,"Priorité 2",IF(R69&gt;=45,"Priorité 3","À valider"))))</x:f>
        <x:v>Hors cible</x:v>
      </x:c>
      <x:c r="T69" s="17" t="str">
        <x:v>Exclure de la prospection de maisons</x:v>
      </x:c>
      <x:c r="U69" s="17" t="str">
        <x:v>113-121 ; art. 9 p. 117</x:v>
      </x:c>
    </x:row>
    <x:row r="70" ht="48" customHeight="1">
      <x:c r="A70" s="16" t="n">
        <x:f>COUNTIFS($R$7:$R$90,"&gt;"&amp;R70)+COUNTIFS($R$7:R70,R70)</x:f>
        <x:v>64</x:v>
      </x:c>
      <x:c r="B70" s="16" t="str">
        <x:f>IF(ISNUMBER(G70),COUNTIFS($G$7:$G$90,"&gt;"&amp;G70)+COUNTIFS($G$7:G70,G70),"n.a.")</x:f>
        <x:v>n.a.</x:v>
      </x:c>
      <x:c r="C70" s="13" t="str">
        <x:v>UEc</x:v>
      </x:c>
      <x:c r="D70" s="13" t="str">
        <x:v>UE</x:v>
      </x:c>
      <x:c r="E70" s="13" t="str">
        <x:v>Urbaine économique</x:v>
      </x:c>
      <x:c r="F70" s="13" t="str">
        <x:v>Non</x:v>
      </x:c>
      <x:c r="G70" s="14"/>
      <x:c r="H70" s="17" t="str">
        <x:v>Emprise non réglementée</x:v>
      </x:c>
      <x:c r="I70" s="17" t="str">
        <x:v>Actif économique</x:v>
      </x:c>
      <x:c r="J70" s="17" t="str">
        <x:v>Zone d'activités</x:v>
      </x:c>
      <x:c r="K70" s="17" t="str">
        <x:v>HF 12 m ; HT 16 m</x:v>
      </x:c>
      <x:c r="L70" s="17" t="str">
        <x:v>Activités liées au port ; SPR</x:v>
      </x:c>
      <x:c r="M70" s="15" t="n">
        <x:v>0</x:v>
      </x:c>
      <x:c r="N70" s="15" t="n">
        <x:v>0</x:v>
      </x:c>
      <x:c r="O70" s="15" t="n">
        <x:v>0</x:v>
      </x:c>
      <x:c r="P70" s="15" t="n">
        <x:v>10</x:v>
      </x:c>
      <x:c r="Q70" s="15" t="n">
        <x:v>4</x:v>
      </x:c>
      <x:c r="R70" s="15" t="n">
        <x:f>SUM(M70:Q70)</x:f>
        <x:v>14</x:v>
      </x:c>
      <x:c r="S70" s="11" t="str">
        <x:f>IF(F70="Non","Hors cible",IF(R70&gt;=80,"Priorité 1",IF(R70&gt;=65,"Priorité 2",IF(R70&gt;=45,"Priorité 3","À valider"))))</x:f>
        <x:v>Hors cible</x:v>
      </x:c>
      <x:c r="T70" s="17" t="str">
        <x:v>Exclure de la prospection de maisons</x:v>
      </x:c>
      <x:c r="U70" s="17" t="str">
        <x:v>113-121 ; art. 9 p. 117</x:v>
      </x:c>
    </x:row>
    <x:row r="71" ht="48" customHeight="1">
      <x:c r="A71" s="16" t="n">
        <x:f>COUNTIFS($R$7:$R$90,"&gt;"&amp;R71)+COUNTIFS($R$7:R71,R71)</x:f>
        <x:v>65</x:v>
      </x:c>
      <x:c r="B71" s="16" t="str">
        <x:f>IF(ISNUMBER(G71),COUNTIFS($G$7:$G$90,"&gt;"&amp;G71)+COUNTIFS($G$7:G71,G71),"n.a.")</x:f>
        <x:v>n.a.</x:v>
      </x:c>
      <x:c r="C71" s="13" t="str">
        <x:v>UEc1</x:v>
      </x:c>
      <x:c r="D71" s="13" t="str">
        <x:v>UE</x:v>
      </x:c>
      <x:c r="E71" s="13" t="str">
        <x:v>Urbaine économique</x:v>
      </x:c>
      <x:c r="F71" s="13" t="str">
        <x:v>Non</x:v>
      </x:c>
      <x:c r="G71" s="14"/>
      <x:c r="H71" s="17" t="str">
        <x:v>Emprise non réglementée</x:v>
      </x:c>
      <x:c r="I71" s="17" t="str">
        <x:v>Actif économique</x:v>
      </x:c>
      <x:c r="J71" s="17" t="str">
        <x:v>Zone d'activités</x:v>
      </x:c>
      <x:c r="K71" s="17" t="str">
        <x:v>HF 12 m ; HT 16 m</x:v>
      </x:c>
      <x:c r="L71" s="17" t="str">
        <x:v>Secteur cité mais absent du préambule ; habitation interdite</x:v>
      </x:c>
      <x:c r="M71" s="15" t="n">
        <x:v>0</x:v>
      </x:c>
      <x:c r="N71" s="15" t="n">
        <x:v>0</x:v>
      </x:c>
      <x:c r="O71" s="15" t="n">
        <x:v>0</x:v>
      </x:c>
      <x:c r="P71" s="15" t="n">
        <x:v>10</x:v>
      </x:c>
      <x:c r="Q71" s="15" t="n">
        <x:v>4</x:v>
      </x:c>
      <x:c r="R71" s="15" t="n">
        <x:f>SUM(M71:Q71)</x:f>
        <x:v>14</x:v>
      </x:c>
      <x:c r="S71" s="11" t="str">
        <x:f>IF(F71="Non","Hors cible",IF(R71&gt;=80,"Priorité 1",IF(R71&gt;=65,"Priorité 2",IF(R71&gt;=45,"Priorité 3","À valider"))))</x:f>
        <x:v>Hors cible</x:v>
      </x:c>
      <x:c r="T71" s="17" t="str">
        <x:v>Exclure de la prospection de maisons</x:v>
      </x:c>
      <x:c r="U71" s="17" t="str">
        <x:v>113-121 ; art. 9 p. 117</x:v>
      </x:c>
    </x:row>
    <x:row r="72" ht="48" customHeight="1">
      <x:c r="A72" s="16" t="n">
        <x:f>COUNTIFS($R$7:$R$90,"&gt;"&amp;R72)+COUNTIFS($R$7:R72,R72)</x:f>
        <x:v>66</x:v>
      </x:c>
      <x:c r="B72" s="16" t="str">
        <x:f>IF(ISNUMBER(G72),COUNTIFS($G$7:$G$90,"&gt;"&amp;G72)+COUNTIFS($G$7:G72,G72),"n.a.")</x:f>
        <x:v>n.a.</x:v>
      </x:c>
      <x:c r="C72" s="13" t="str">
        <x:v>UEg</x:v>
      </x:c>
      <x:c r="D72" s="13" t="str">
        <x:v>UE</x:v>
      </x:c>
      <x:c r="E72" s="13" t="str">
        <x:v>Urbaine économique</x:v>
      </x:c>
      <x:c r="F72" s="13" t="str">
        <x:v>Non</x:v>
      </x:c>
      <x:c r="G72" s="14"/>
      <x:c r="H72" s="17" t="str">
        <x:v>Emprise non réglementée</x:v>
      </x:c>
      <x:c r="I72" s="17" t="str">
        <x:v>Actif économique</x:v>
      </x:c>
      <x:c r="J72" s="17" t="str">
        <x:v>Zone d'activités</x:v>
      </x:c>
      <x:c r="K72" s="17" t="str">
        <x:v>HF 16,5 m ; HT 19 m</x:v>
      </x:c>
      <x:c r="L72" s="17" t="str">
        <x:v>Pôle d'échange, tertiaire/hébergement touristique</x:v>
      </x:c>
      <x:c r="M72" s="15" t="n">
        <x:v>0</x:v>
      </x:c>
      <x:c r="N72" s="15" t="n">
        <x:v>0</x:v>
      </x:c>
      <x:c r="O72" s="15" t="n">
        <x:v>0</x:v>
      </x:c>
      <x:c r="P72" s="15" t="n">
        <x:v>10</x:v>
      </x:c>
      <x:c r="Q72" s="15" t="n">
        <x:v>4</x:v>
      </x:c>
      <x:c r="R72" s="15" t="n">
        <x:f>SUM(M72:Q72)</x:f>
        <x:v>14</x:v>
      </x:c>
      <x:c r="S72" s="11" t="str">
        <x:f>IF(F72="Non","Hors cible",IF(R72&gt;=80,"Priorité 1",IF(R72&gt;=65,"Priorité 2",IF(R72&gt;=45,"Priorité 3","À valider"))))</x:f>
        <x:v>Hors cible</x:v>
      </x:c>
      <x:c r="T72" s="17" t="str">
        <x:v>Exclure de la prospection de maisons</x:v>
      </x:c>
      <x:c r="U72" s="17" t="str">
        <x:v>113-121 ; art. 9 p. 117</x:v>
      </x:c>
    </x:row>
    <x:row r="73" ht="48" customHeight="1">
      <x:c r="A73" s="16" t="n">
        <x:f>COUNTIFS($R$7:$R$90,"&gt;"&amp;R73)+COUNTIFS($R$7:R73,R73)</x:f>
        <x:v>67</x:v>
      </x:c>
      <x:c r="B73" s="16" t="str">
        <x:f>IF(ISNUMBER(G73),COUNTIFS($G$7:$G$90,"&gt;"&amp;G73)+COUNTIFS($G$7:G73,G73),"n.a.")</x:f>
        <x:v>n.a.</x:v>
      </x:c>
      <x:c r="C73" s="13" t="str">
        <x:v>UEz</x:v>
      </x:c>
      <x:c r="D73" s="13" t="str">
        <x:v>UE</x:v>
      </x:c>
      <x:c r="E73" s="13" t="str">
        <x:v>Urbaine économique</x:v>
      </x:c>
      <x:c r="F73" s="13" t="str">
        <x:v>Non</x:v>
      </x:c>
      <x:c r="G73" s="14"/>
      <x:c r="H73" s="17" t="str">
        <x:v>Emprise non réglementée</x:v>
      </x:c>
      <x:c r="I73" s="17" t="str">
        <x:v>Actif économique</x:v>
      </x:c>
      <x:c r="J73" s="17" t="str">
        <x:v>Zone d'activités</x:v>
      </x:c>
      <x:c r="K73" s="17" t="str">
        <x:v>HF 16,5 m ; HT 19 m</x:v>
      </x:c>
      <x:c r="L73" s="17" t="str">
        <x:v>Zone commerciale</x:v>
      </x:c>
      <x:c r="M73" s="15" t="n">
        <x:v>0</x:v>
      </x:c>
      <x:c r="N73" s="15" t="n">
        <x:v>0</x:v>
      </x:c>
      <x:c r="O73" s="15" t="n">
        <x:v>0</x:v>
      </x:c>
      <x:c r="P73" s="15" t="n">
        <x:v>10</x:v>
      </x:c>
      <x:c r="Q73" s="15" t="n">
        <x:v>4</x:v>
      </x:c>
      <x:c r="R73" s="15" t="n">
        <x:f>SUM(M73:Q73)</x:f>
        <x:v>14</x:v>
      </x:c>
      <x:c r="S73" s="11" t="str">
        <x:f>IF(F73="Non","Hors cible",IF(R73&gt;=80,"Priorité 1",IF(R73&gt;=65,"Priorité 2",IF(R73&gt;=45,"Priorité 3","À valider"))))</x:f>
        <x:v>Hors cible</x:v>
      </x:c>
      <x:c r="T73" s="17" t="str">
        <x:v>Exclure de la prospection de maisons</x:v>
      </x:c>
      <x:c r="U73" s="17" t="str">
        <x:v>113-121 ; art. 9 p. 117</x:v>
      </x:c>
    </x:row>
    <x:row r="74" ht="48" customHeight="1">
      <x:c r="A74" s="16" t="n">
        <x:f>COUNTIFS($R$7:$R$90,"&gt;"&amp;R74)+COUNTIFS($R$7:R74,R74)</x:f>
        <x:v>68</x:v>
      </x:c>
      <x:c r="B74" s="16" t="str">
        <x:f>IF(ISNUMBER(G74),COUNTIFS($G$7:$G$90,"&gt;"&amp;G74)+COUNTIFS($G$7:G74,G74),"n.a.")</x:f>
        <x:v>n.a.</x:v>
      </x:c>
      <x:c r="C74" s="13" t="str">
        <x:v>UEz1</x:v>
      </x:c>
      <x:c r="D74" s="13" t="str">
        <x:v>UE</x:v>
      </x:c>
      <x:c r="E74" s="13" t="str">
        <x:v>Urbaine économique</x:v>
      </x:c>
      <x:c r="F74" s="13" t="str">
        <x:v>Non</x:v>
      </x:c>
      <x:c r="G74" s="14"/>
      <x:c r="H74" s="17" t="str">
        <x:v>Emprise non réglementée</x:v>
      </x:c>
      <x:c r="I74" s="17" t="str">
        <x:v>Actif économique</x:v>
      </x:c>
      <x:c r="J74" s="17" t="str">
        <x:v>Zone d'activités</x:v>
      </x:c>
      <x:c r="K74" s="17" t="str">
        <x:v>HF 10 m</x:v>
      </x:c>
      <x:c r="L74" s="17" t="str">
        <x:v>Zone commerciale</x:v>
      </x:c>
      <x:c r="M74" s="15" t="n">
        <x:v>0</x:v>
      </x:c>
      <x:c r="N74" s="15" t="n">
        <x:v>0</x:v>
      </x:c>
      <x:c r="O74" s="15" t="n">
        <x:v>0</x:v>
      </x:c>
      <x:c r="P74" s="15" t="n">
        <x:v>10</x:v>
      </x:c>
      <x:c r="Q74" s="15" t="n">
        <x:v>4</x:v>
      </x:c>
      <x:c r="R74" s="15" t="n">
        <x:f>SUM(M74:Q74)</x:f>
        <x:v>14</x:v>
      </x:c>
      <x:c r="S74" s="11" t="str">
        <x:f>IF(F74="Non","Hors cible",IF(R74&gt;=80,"Priorité 1",IF(R74&gt;=65,"Priorité 2",IF(R74&gt;=45,"Priorité 3","À valider"))))</x:f>
        <x:v>Hors cible</x:v>
      </x:c>
      <x:c r="T74" s="17" t="str">
        <x:v>Exclure de la prospection de maisons</x:v>
      </x:c>
      <x:c r="U74" s="17" t="str">
        <x:v>113-121 ; art. 9 p. 117</x:v>
      </x:c>
    </x:row>
    <x:row r="75" ht="48" customHeight="1">
      <x:c r="A75" s="16" t="n">
        <x:f>COUNTIFS($R$7:$R$90,"&gt;"&amp;R75)+COUNTIFS($R$7:R75,R75)</x:f>
        <x:v>69</x:v>
      </x:c>
      <x:c r="B75" s="16" t="str">
        <x:f>IF(ISNUMBER(G75),COUNTIFS($G$7:$G$90,"&gt;"&amp;G75)+COUNTIFS($G$7:G75,G75),"n.a.")</x:f>
        <x:v>n.a.</x:v>
      </x:c>
      <x:c r="C75" s="13" t="str">
        <x:v>A</x:v>
      </x:c>
      <x:c r="D75" s="13" t="str">
        <x:v>A</x:v>
      </x:c>
      <x:c r="E75" s="13" t="str">
        <x:v>Agricole</x:v>
      </x:c>
      <x:c r="F75" s="13" t="str">
        <x:v>Non</x:v>
      </x:c>
      <x:c r="G75" s="14"/>
      <x:c r="H75" s="17" t="str">
        <x:v>Emprise non réglementée</x:v>
      </x:c>
      <x:c r="I75" s="17" t="str">
        <x:v>Bâti agricole existant seulement</x:v>
      </x:c>
      <x:c r="J75" s="17" t="str">
        <x:v>Terres agricoles protégées</x:v>
      </x:c>
      <x:c r="K75" s="17" t="str">
        <x:v>7 m à l'égout pour habitation ; 10 m autres</x:v>
      </x:c>
      <x:c r="L75" s="17" t="str">
        <x:v>Nouvelles habitations interdites ; coupure d'urbanisation</x:v>
      </x:c>
      <x:c r="M75" s="15" t="n">
        <x:v>0</x:v>
      </x:c>
      <x:c r="N75" s="15" t="n">
        <x:v>0</x:v>
      </x:c>
      <x:c r="O75" s="15" t="n">
        <x:v>2</x:v>
      </x:c>
      <x:c r="P75" s="15" t="n">
        <x:v>10</x:v>
      </x:c>
      <x:c r="Q75" s="15" t="n">
        <x:v>1</x:v>
      </x:c>
      <x:c r="R75" s="15" t="n">
        <x:f>SUM(M75:Q75)</x:f>
        <x:v>13</x:v>
      </x:c>
      <x:c r="S75" s="11" t="str">
        <x:f>IF(F75="Non","Hors cible",IF(R75&gt;=80,"Priorité 1",IF(R75&gt;=65,"Priorité 2",IF(R75&gt;=45,"Priorité 3","À valider"))))</x:f>
        <x:v>Hors cible</x:v>
      </x:c>
      <x:c r="T75" s="17" t="str">
        <x:v>Exclure sauf projet agricole ou changement de destination autorisé</x:v>
      </x:c>
      <x:c r="U75" s="17" t="str">
        <x:v>133-136 ; art. 9 p. 135</x:v>
      </x:c>
    </x:row>
    <x:row r="76" ht="48" customHeight="1">
      <x:c r="A76" s="16" t="n">
        <x:f>COUNTIFS($R$7:$R$90,"&gt;"&amp;R76)+COUNTIFS($R$7:R76,R76)</x:f>
        <x:v>70</x:v>
      </x:c>
      <x:c r="B76" s="16" t="str">
        <x:f>IF(ISNUMBER(G76),COUNTIFS($G$7:$G$90,"&gt;"&amp;G76)+COUNTIFS($G$7:G76,G76),"n.a.")</x:f>
        <x:v>n.a.</x:v>
      </x:c>
      <x:c r="C76" s="13" t="str">
        <x:v>AU0</x:v>
      </x:c>
      <x:c r="D76" s="13" t="str">
        <x:v>AU0</x:v>
      </x:c>
      <x:c r="E76" s="13" t="str">
        <x:v>À urbaniser</x:v>
      </x:c>
      <x:c r="F76" s="13" t="str">
        <x:v>Non</x:v>
      </x:c>
      <x:c r="G76" s="14"/>
      <x:c r="H76" s="17" t="str">
        <x:v>Emprise non réglementée</x:v>
      </x:c>
      <x:c r="I76" s="17" t="str">
        <x:v>Veille foncière long terme</x:v>
      </x:c>
      <x:c r="J76" s="17" t="str">
        <x:v>PEM à vocation mixte</x:v>
      </x:c>
      <x:c r="K76" s="17" t="str">
        <x:v>Non réglementée</x:v>
      </x:c>
      <x:c r="L76" s="17" t="str">
        <x:v>Zone fermée ; PLU à modifier ; PPRI RU1/BU1 ; SPR</x:v>
      </x:c>
      <x:c r="M76" s="15" t="n">
        <x:v>0</x:v>
      </x:c>
      <x:c r="N76" s="15" t="n">
        <x:v>0</x:v>
      </x:c>
      <x:c r="O76" s="15" t="n">
        <x:v>2</x:v>
      </x:c>
      <x:c r="P76" s="15" t="n">
        <x:v>10</x:v>
      </x:c>
      <x:c r="Q76" s="15" t="n">
        <x:v>1</x:v>
      </x:c>
      <x:c r="R76" s="15" t="n">
        <x:f>SUM(M76:Q76)</x:f>
        <x:v>13</x:v>
      </x:c>
      <x:c r="S76" s="11" t="str">
        <x:f>IF(F76="Non","Hors cible",IF(R76&gt;=80,"Priorité 1",IF(R76&gt;=65,"Priorité 2",IF(R76&gt;=45,"Priorité 3","À valider"))))</x:f>
        <x:v>Hors cible</x:v>
      </x:c>
      <x:c r="T76" s="17" t="str">
        <x:v>Suivre l'ouverture à l'urbanisation, sans acquisition spéculative non sécurisée</x:v>
      </x:c>
      <x:c r="U76" s="17" t="str">
        <x:v>128-129 ; art. 9 p. 129</x:v>
      </x:c>
    </x:row>
    <x:row r="77" ht="48" customHeight="1">
      <x:c r="A77" s="16" t="n">
        <x:f>COUNTIFS($R$7:$R$90,"&gt;"&amp;R77)+COUNTIFS($R$7:R77,R77)</x:f>
        <x:v>71</x:v>
      </x:c>
      <x:c r="B77" s="16" t="str">
        <x:f>IF(ISNUMBER(G77),COUNTIFS($G$7:$G$90,"&gt;"&amp;G77)+COUNTIFS($G$7:G77,G77),"n.a.")</x:f>
        <x:v>n.a.</x:v>
      </x:c>
      <x:c r="C77" s="13" t="str">
        <x:v>AUE0</x:v>
      </x:c>
      <x:c r="D77" s="13" t="str">
        <x:v>AUE0</x:v>
      </x:c>
      <x:c r="E77" s="13" t="str">
        <x:v>À urbaniser économique</x:v>
      </x:c>
      <x:c r="F77" s="13" t="str">
        <x:v>Non</x:v>
      </x:c>
      <x:c r="G77" s="14"/>
      <x:c r="H77" s="17" t="str">
        <x:v>Emprise non réglementée</x:v>
      </x:c>
      <x:c r="I77" s="17" t="str">
        <x:v>Veille foncière long terme</x:v>
      </x:c>
      <x:c r="J77" s="17" t="str">
        <x:v>PEM artisanal et tertiaire</x:v>
      </x:c>
      <x:c r="K77" s="17" t="str">
        <x:v>Non réglementée</x:v>
      </x:c>
      <x:c r="L77" s="17" t="str">
        <x:v>Zone fermée ; PLU à modifier ; PPRI RU1/BU1 ; SPR</x:v>
      </x:c>
      <x:c r="M77" s="15" t="n">
        <x:v>0</x:v>
      </x:c>
      <x:c r="N77" s="15" t="n">
        <x:v>0</x:v>
      </x:c>
      <x:c r="O77" s="15" t="n">
        <x:v>1</x:v>
      </x:c>
      <x:c r="P77" s="15" t="n">
        <x:v>10</x:v>
      </x:c>
      <x:c r="Q77" s="15" t="n">
        <x:v>1</x:v>
      </x:c>
      <x:c r="R77" s="15" t="n">
        <x:f>SUM(M77:Q77)</x:f>
        <x:v>12</x:v>
      </x:c>
      <x:c r="S77" s="11" t="str">
        <x:f>IF(F77="Non","Hors cible",IF(R77&gt;=80,"Priorité 1",IF(R77&gt;=65,"Priorité 2",IF(R77&gt;=45,"Priorité 3","À valider"))))</x:f>
        <x:v>Hors cible</x:v>
      </x:c>
      <x:c r="T77" s="17" t="str">
        <x:v>Exclure de la prospection de maisons</x:v>
      </x:c>
      <x:c r="U77" s="17" t="str">
        <x:v>130-131 ; art. 9 p. 131</x:v>
      </x:c>
    </x:row>
    <x:row r="78" ht="48" customHeight="1">
      <x:c r="A78" s="16" t="n">
        <x:f>COUNTIFS($R$7:$R$90,"&gt;"&amp;R78)+COUNTIFS($R$7:R78,R78)</x:f>
        <x:v>72</x:v>
      </x:c>
      <x:c r="B78" s="16" t="str">
        <x:f>IF(ISNUMBER(G78),COUNTIFS($G$7:$G$90,"&gt;"&amp;G78)+COUNTIFS($G$7:G78,G78),"n.a.")</x:f>
        <x:v>n.a.</x:v>
      </x:c>
      <x:c r="C78" s="13" t="str">
        <x:v>N</x:v>
      </x:c>
      <x:c r="D78" s="13" t="str">
        <x:v>N</x:v>
      </x:c>
      <x:c r="E78" s="13" t="str">
        <x:v>Naturelle</x:v>
      </x:c>
      <x:c r="F78" s="13" t="str">
        <x:v>Non</x:v>
      </x:c>
      <x:c r="G78" s="14"/>
      <x:c r="H78" s="17" t="str">
        <x:v>Emprise non réglementée</x:v>
      </x:c>
      <x:c r="I78" s="17" t="str">
        <x:v>Bâti existant / usage spécialisé</x:v>
      </x:c>
      <x:c r="J78" s="17" t="str">
        <x:v>Espace naturel protégé</x:v>
      </x:c>
      <x:c r="K78" s="17" t="str">
        <x:v>HF 4 m ; HT 5 m</x:v>
      </x:c>
      <x:c r="L78" s="17" t="str">
        <x:v>Constructibilité très limitée ; protections naturelles et littorales</x:v>
      </x:c>
      <x:c r="M78" s="15" t="n">
        <x:v>0</x:v>
      </x:c>
      <x:c r="N78" s="15" t="n">
        <x:v>0</x:v>
      </x:c>
      <x:c r="O78" s="15" t="n">
        <x:v>1</x:v>
      </x:c>
      <x:c r="P78" s="15" t="n">
        <x:v>10</x:v>
      </x:c>
      <x:c r="Q78" s="15" t="n">
        <x:v>1</x:v>
      </x:c>
      <x:c r="R78" s="15" t="n">
        <x:f>SUM(M78:Q78)</x:f>
        <x:v>12</x:v>
      </x:c>
      <x:c r="S78" s="11" t="str">
        <x:f>IF(F78="Non","Hors cible",IF(R78&gt;=80,"Priorité 1",IF(R78&gt;=65,"Priorité 2",IF(R78&gt;=45,"Priorité 3","À valider"))))</x:f>
        <x:v>Hors cible</x:v>
      </x:c>
      <x:c r="T78" s="17" t="str">
        <x:v>Exclure de la prospection résidentielle standard</x:v>
      </x:c>
      <x:c r="U78" s="17" t="str">
        <x:v>138-143 ; art. 9 p. 142</x:v>
      </x:c>
    </x:row>
    <x:row r="79" ht="48" customHeight="1">
      <x:c r="A79" s="16" t="n">
        <x:f>COUNTIFS($R$7:$R$90,"&gt;"&amp;R79)+COUNTIFS($R$7:R79,R79)</x:f>
        <x:v>73</x:v>
      </x:c>
      <x:c r="B79" s="16" t="str">
        <x:f>IF(ISNUMBER(G79),COUNTIFS($G$7:$G$90,"&gt;"&amp;G79)+COUNTIFS($G$7:G79,G79),"n.a.")</x:f>
        <x:v>n.a.</x:v>
      </x:c>
      <x:c r="C79" s="13" t="str">
        <x:v>Nc</x:v>
      </x:c>
      <x:c r="D79" s="13" t="str">
        <x:v>N</x:v>
      </x:c>
      <x:c r="E79" s="13" t="str">
        <x:v>Naturelle</x:v>
      </x:c>
      <x:c r="F79" s="13" t="str">
        <x:v>Non</x:v>
      </x:c>
      <x:c r="G79" s="14"/>
      <x:c r="H79" s="17" t="str">
        <x:v>Emprise non réglementée</x:v>
      </x:c>
      <x:c r="I79" s="17" t="str">
        <x:v>Bâti existant / usage spécialisé</x:v>
      </x:c>
      <x:c r="J79" s="17" t="str">
        <x:v>Espace naturel protégé</x:v>
      </x:c>
      <x:c r="K79" s="17" t="str">
        <x:v>HF 4 m ; HT 5 m</x:v>
      </x:c>
      <x:c r="L79" s="17" t="str">
        <x:v>Constructibilité très limitée ; protections naturelles et littorales</x:v>
      </x:c>
      <x:c r="M79" s="15" t="n">
        <x:v>0</x:v>
      </x:c>
      <x:c r="N79" s="15" t="n">
        <x:v>0</x:v>
      </x:c>
      <x:c r="O79" s="15" t="n">
        <x:v>1</x:v>
      </x:c>
      <x:c r="P79" s="15" t="n">
        <x:v>10</x:v>
      </x:c>
      <x:c r="Q79" s="15" t="n">
        <x:v>1</x:v>
      </x:c>
      <x:c r="R79" s="15" t="n">
        <x:f>SUM(M79:Q79)</x:f>
        <x:v>12</x:v>
      </x:c>
      <x:c r="S79" s="11" t="str">
        <x:f>IF(F79="Non","Hors cible",IF(R79&gt;=80,"Priorité 1",IF(R79&gt;=65,"Priorité 2",IF(R79&gt;=45,"Priorité 3","À valider"))))</x:f>
        <x:v>Hors cible</x:v>
      </x:c>
      <x:c r="T79" s="17" t="str">
        <x:v>Exclure de la prospection résidentielle standard</x:v>
      </x:c>
      <x:c r="U79" s="17" t="str">
        <x:v>138-143 ; art. 9 p. 142</x:v>
      </x:c>
    </x:row>
    <x:row r="80" ht="48" customHeight="1">
      <x:c r="A80" s="16" t="n">
        <x:f>COUNTIFS($R$7:$R$90,"&gt;"&amp;R80)+COUNTIFS($R$7:R80,R80)</x:f>
        <x:v>74</x:v>
      </x:c>
      <x:c r="B80" s="16" t="str">
        <x:f>IF(ISNUMBER(G80),COUNTIFS($G$7:$G$90,"&gt;"&amp;G80)+COUNTIFS($G$7:G80,G80),"n.a.")</x:f>
        <x:v>n.a.</x:v>
      </x:c>
      <x:c r="C80" s="13" t="str">
        <x:v>Ne</x:v>
      </x:c>
      <x:c r="D80" s="13" t="str">
        <x:v>N</x:v>
      </x:c>
      <x:c r="E80" s="13" t="str">
        <x:v>Naturelle</x:v>
      </x:c>
      <x:c r="F80" s="13" t="str">
        <x:v>Non</x:v>
      </x:c>
      <x:c r="G80" s="14"/>
      <x:c r="H80" s="17" t="str">
        <x:v>Emprise non réglementée</x:v>
      </x:c>
      <x:c r="I80" s="17" t="str">
        <x:v>Bâti existant / usage spécialisé</x:v>
      </x:c>
      <x:c r="J80" s="17" t="str">
        <x:v>Espace naturel protégé</x:v>
      </x:c>
      <x:c r="K80" s="17" t="str">
        <x:v>HF 4 m ; HT 5 m</x:v>
      </x:c>
      <x:c r="L80" s="17" t="str">
        <x:v>Constructibilité très limitée ; protections naturelles et littorales</x:v>
      </x:c>
      <x:c r="M80" s="15" t="n">
        <x:v>0</x:v>
      </x:c>
      <x:c r="N80" s="15" t="n">
        <x:v>0</x:v>
      </x:c>
      <x:c r="O80" s="15" t="n">
        <x:v>1</x:v>
      </x:c>
      <x:c r="P80" s="15" t="n">
        <x:v>10</x:v>
      </x:c>
      <x:c r="Q80" s="15" t="n">
        <x:v>1</x:v>
      </x:c>
      <x:c r="R80" s="15" t="n">
        <x:f>SUM(M80:Q80)</x:f>
        <x:v>12</x:v>
      </x:c>
      <x:c r="S80" s="11" t="str">
        <x:f>IF(F80="Non","Hors cible",IF(R80&gt;=80,"Priorité 1",IF(R80&gt;=65,"Priorité 2",IF(R80&gt;=45,"Priorité 3","À valider"))))</x:f>
        <x:v>Hors cible</x:v>
      </x:c>
      <x:c r="T80" s="17" t="str">
        <x:v>Exclure de la prospection résidentielle standard</x:v>
      </x:c>
      <x:c r="U80" s="17" t="str">
        <x:v>138-143 ; art. 9 p. 142</x:v>
      </x:c>
    </x:row>
    <x:row r="81" ht="48" customHeight="1">
      <x:c r="A81" s="16" t="n">
        <x:f>COUNTIFS($R$7:$R$90,"&gt;"&amp;R81)+COUNTIFS($R$7:R81,R81)</x:f>
        <x:v>75</x:v>
      </x:c>
      <x:c r="B81" s="16" t="str">
        <x:f>IF(ISNUMBER(G81),COUNTIFS($G$7:$G$90,"&gt;"&amp;G81)+COUNTIFS($G$7:G81,G81),"n.a.")</x:f>
        <x:v>n.a.</x:v>
      </x:c>
      <x:c r="C81" s="13" t="str">
        <x:v>Nf</x:v>
      </x:c>
      <x:c r="D81" s="13" t="str">
        <x:v>N</x:v>
      </x:c>
      <x:c r="E81" s="13" t="str">
        <x:v>Naturelle</x:v>
      </x:c>
      <x:c r="F81" s="13" t="str">
        <x:v>Non</x:v>
      </x:c>
      <x:c r="G81" s="14"/>
      <x:c r="H81" s="17" t="str">
        <x:v>Emprise non réglementée</x:v>
      </x:c>
      <x:c r="I81" s="17" t="str">
        <x:v>Bâti existant / usage spécialisé</x:v>
      </x:c>
      <x:c r="J81" s="17" t="str">
        <x:v>Espace naturel protégé</x:v>
      </x:c>
      <x:c r="K81" s="17" t="str">
        <x:v>HF 4 m ; HT 5 m</x:v>
      </x:c>
      <x:c r="L81" s="17" t="str">
        <x:v>Constructibilité très limitée ; protections naturelles et littorales</x:v>
      </x:c>
      <x:c r="M81" s="15" t="n">
        <x:v>0</x:v>
      </x:c>
      <x:c r="N81" s="15" t="n">
        <x:v>0</x:v>
      </x:c>
      <x:c r="O81" s="15" t="n">
        <x:v>1</x:v>
      </x:c>
      <x:c r="P81" s="15" t="n">
        <x:v>10</x:v>
      </x:c>
      <x:c r="Q81" s="15" t="n">
        <x:v>1</x:v>
      </x:c>
      <x:c r="R81" s="15" t="n">
        <x:f>SUM(M81:Q81)</x:f>
        <x:v>12</x:v>
      </x:c>
      <x:c r="S81" s="11" t="str">
        <x:f>IF(F81="Non","Hors cible",IF(R81&gt;=80,"Priorité 1",IF(R81&gt;=65,"Priorité 2",IF(R81&gt;=45,"Priorité 3","À valider"))))</x:f>
        <x:v>Hors cible</x:v>
      </x:c>
      <x:c r="T81" s="17" t="str">
        <x:v>Exclure de la prospection résidentielle standard</x:v>
      </x:c>
      <x:c r="U81" s="17" t="str">
        <x:v>138-143 ; art. 9 p. 142</x:v>
      </x:c>
    </x:row>
    <x:row r="82" ht="48" customHeight="1">
      <x:c r="A82" s="16" t="n">
        <x:f>COUNTIFS($R$7:$R$90,"&gt;"&amp;R82)+COUNTIFS($R$7:R82,R82)</x:f>
        <x:v>76</x:v>
      </x:c>
      <x:c r="B82" s="16" t="str">
        <x:f>IF(ISNUMBER(G82),COUNTIFS($G$7:$G$90,"&gt;"&amp;G82)+COUNTIFS($G$7:G82,G82),"n.a.")</x:f>
        <x:v>n.a.</x:v>
      </x:c>
      <x:c r="C82" s="13" t="str">
        <x:v>Ng</x:v>
      </x:c>
      <x:c r="D82" s="13" t="str">
        <x:v>N</x:v>
      </x:c>
      <x:c r="E82" s="13" t="str">
        <x:v>Naturelle</x:v>
      </x:c>
      <x:c r="F82" s="13" t="str">
        <x:v>Non</x:v>
      </x:c>
      <x:c r="G82" s="14"/>
      <x:c r="H82" s="17" t="str">
        <x:v>Emprise non réglementée</x:v>
      </x:c>
      <x:c r="I82" s="17" t="str">
        <x:v>Bâti existant / usage spécialisé</x:v>
      </x:c>
      <x:c r="J82" s="17" t="str">
        <x:v>Espace naturel protégé</x:v>
      </x:c>
      <x:c r="K82" s="17" t="str">
        <x:v>HF 4 m ; HT 5 m</x:v>
      </x:c>
      <x:c r="L82" s="17" t="str">
        <x:v>Constructibilité très limitée ; protections naturelles et littorales</x:v>
      </x:c>
      <x:c r="M82" s="15" t="n">
        <x:v>0</x:v>
      </x:c>
      <x:c r="N82" s="15" t="n">
        <x:v>0</x:v>
      </x:c>
      <x:c r="O82" s="15" t="n">
        <x:v>1</x:v>
      </x:c>
      <x:c r="P82" s="15" t="n">
        <x:v>10</x:v>
      </x:c>
      <x:c r="Q82" s="15" t="n">
        <x:v>1</x:v>
      </x:c>
      <x:c r="R82" s="15" t="n">
        <x:f>SUM(M82:Q82)</x:f>
        <x:v>12</x:v>
      </x:c>
      <x:c r="S82" s="11" t="str">
        <x:f>IF(F82="Non","Hors cible",IF(R82&gt;=80,"Priorité 1",IF(R82&gt;=65,"Priorité 2",IF(R82&gt;=45,"Priorité 3","À valider"))))</x:f>
        <x:v>Hors cible</x:v>
      </x:c>
      <x:c r="T82" s="17" t="str">
        <x:v>Exclure de la prospection résidentielle standard</x:v>
      </x:c>
      <x:c r="U82" s="17" t="str">
        <x:v>138-143 ; art. 9 p. 142</x:v>
      </x:c>
    </x:row>
    <x:row r="83" ht="48" customHeight="1">
      <x:c r="A83" s="16" t="n">
        <x:f>COUNTIFS($R$7:$R$90,"&gt;"&amp;R83)+COUNTIFS($R$7:R83,R83)</x:f>
        <x:v>77</x:v>
      </x:c>
      <x:c r="B83" s="16" t="str">
        <x:f>IF(ISNUMBER(G83),COUNTIFS($G$7:$G$90,"&gt;"&amp;G83)+COUNTIFS($G$7:G83,G83),"n.a.")</x:f>
        <x:v>n.a.</x:v>
      </x:c>
      <x:c r="C83" s="13" t="str">
        <x:v>NL</x:v>
      </x:c>
      <x:c r="D83" s="13" t="str">
        <x:v>N</x:v>
      </x:c>
      <x:c r="E83" s="13" t="str">
        <x:v>Naturelle</x:v>
      </x:c>
      <x:c r="F83" s="13" t="str">
        <x:v>Non</x:v>
      </x:c>
      <x:c r="G83" s="14"/>
      <x:c r="H83" s="17" t="str">
        <x:v>Emprise non réglementée</x:v>
      </x:c>
      <x:c r="I83" s="17" t="str">
        <x:v>Bâti existant / usage spécialisé</x:v>
      </x:c>
      <x:c r="J83" s="17" t="str">
        <x:v>Espace naturel protégé</x:v>
      </x:c>
      <x:c r="K83" s="17" t="str">
        <x:v>HF 4 m ; HT 5 m</x:v>
      </x:c>
      <x:c r="L83" s="17" t="str">
        <x:v>Constructibilité très limitée ; protections naturelles et littorales</x:v>
      </x:c>
      <x:c r="M83" s="15" t="n">
        <x:v>0</x:v>
      </x:c>
      <x:c r="N83" s="15" t="n">
        <x:v>0</x:v>
      </x:c>
      <x:c r="O83" s="15" t="n">
        <x:v>1</x:v>
      </x:c>
      <x:c r="P83" s="15" t="n">
        <x:v>10</x:v>
      </x:c>
      <x:c r="Q83" s="15" t="n">
        <x:v>1</x:v>
      </x:c>
      <x:c r="R83" s="15" t="n">
        <x:f>SUM(M83:Q83)</x:f>
        <x:v>12</x:v>
      </x:c>
      <x:c r="S83" s="11" t="str">
        <x:f>IF(F83="Non","Hors cible",IF(R83&gt;=80,"Priorité 1",IF(R83&gt;=65,"Priorité 2",IF(R83&gt;=45,"Priorité 3","À valider"))))</x:f>
        <x:v>Hors cible</x:v>
      </x:c>
      <x:c r="T83" s="17" t="str">
        <x:v>Exclure de la prospection résidentielle standard</x:v>
      </x:c>
      <x:c r="U83" s="17" t="str">
        <x:v>138-143 ; art. 9 p. 142</x:v>
      </x:c>
    </x:row>
    <x:row r="84" ht="48" customHeight="1">
      <x:c r="A84" s="16" t="n">
        <x:f>COUNTIFS($R$7:$R$90,"&gt;"&amp;R84)+COUNTIFS($R$7:R84,R84)</x:f>
        <x:v>78</x:v>
      </x:c>
      <x:c r="B84" s="16" t="str">
        <x:f>IF(ISNUMBER(G84),COUNTIFS($G$7:$G$90,"&gt;"&amp;G84)+COUNTIFS($G$7:G84,G84),"n.a.")</x:f>
        <x:v>n.a.</x:v>
      </x:c>
      <x:c r="C84" s="13" t="str">
        <x:v>NLc</x:v>
      </x:c>
      <x:c r="D84" s="13" t="str">
        <x:v>N</x:v>
      </x:c>
      <x:c r="E84" s="13" t="str">
        <x:v>Naturelle</x:v>
      </x:c>
      <x:c r="F84" s="13" t="str">
        <x:v>Non</x:v>
      </x:c>
      <x:c r="G84" s="14"/>
      <x:c r="H84" s="17" t="str">
        <x:v>Emprise non réglementée</x:v>
      </x:c>
      <x:c r="I84" s="17" t="str">
        <x:v>Bâti existant / usage spécialisé</x:v>
      </x:c>
      <x:c r="J84" s="17" t="str">
        <x:v>Espace naturel protégé</x:v>
      </x:c>
      <x:c r="K84" s="17" t="str">
        <x:v>HF 4 m ; HT 5 m</x:v>
      </x:c>
      <x:c r="L84" s="17" t="str">
        <x:v>Constructibilité très limitée ; protections naturelles et littorales</x:v>
      </x:c>
      <x:c r="M84" s="15" t="n">
        <x:v>0</x:v>
      </x:c>
      <x:c r="N84" s="15" t="n">
        <x:v>0</x:v>
      </x:c>
      <x:c r="O84" s="15" t="n">
        <x:v>1</x:v>
      </x:c>
      <x:c r="P84" s="15" t="n">
        <x:v>10</x:v>
      </x:c>
      <x:c r="Q84" s="15" t="n">
        <x:v>1</x:v>
      </x:c>
      <x:c r="R84" s="15" t="n">
        <x:f>SUM(M84:Q84)</x:f>
        <x:v>12</x:v>
      </x:c>
      <x:c r="S84" s="11" t="str">
        <x:f>IF(F84="Non","Hors cible",IF(R84&gt;=80,"Priorité 1",IF(R84&gt;=65,"Priorité 2",IF(R84&gt;=45,"Priorité 3","À valider"))))</x:f>
        <x:v>Hors cible</x:v>
      </x:c>
      <x:c r="T84" s="17" t="str">
        <x:v>Exclure de la prospection résidentielle standard</x:v>
      </x:c>
      <x:c r="U84" s="17" t="str">
        <x:v>138-143 ; art. 9 p. 142</x:v>
      </x:c>
    </x:row>
    <x:row r="85" ht="48" customHeight="1">
      <x:c r="A85" s="16" t="n">
        <x:f>COUNTIFS($R$7:$R$90,"&gt;"&amp;R85)+COUNTIFS($R$7:R85,R85)</x:f>
        <x:v>79</x:v>
      </x:c>
      <x:c r="B85" s="16" t="str">
        <x:f>IF(ISNUMBER(G85),COUNTIFS($G$7:$G$90,"&gt;"&amp;G85)+COUNTIFS($G$7:G85,G85),"n.a.")</x:f>
        <x:v>n.a.</x:v>
      </x:c>
      <x:c r="C85" s="13" t="str">
        <x:v>UP</x:v>
      </x:c>
      <x:c r="D85" s="13" t="str">
        <x:v>UP</x:v>
      </x:c>
      <x:c r="E85" s="13" t="str">
        <x:v>Urbaine portuaire</x:v>
      </x:c>
      <x:c r="F85" s="13" t="str">
        <x:v>Non</x:v>
      </x:c>
      <x:c r="G85" s="14"/>
      <x:c r="H85" s="17" t="str">
        <x:v>Emprise non réglementée</x:v>
      </x:c>
      <x:c r="I85" s="17" t="str">
        <x:v>Actif portuaire</x:v>
      </x:c>
      <x:c r="J85" s="17" t="str">
        <x:v>Équipements et activités portuaires</x:v>
      </x:c>
      <x:c r="K85" s="17" t="str">
        <x:v>50 m</x:v>
      </x:c>
      <x:c r="L85" s="17" t="str">
        <x:v>Port ; logement ordinaire non admis</x:v>
      </x:c>
      <x:c r="M85" s="15" t="n">
        <x:v>0</x:v>
      </x:c>
      <x:c r="N85" s="15" t="n">
        <x:v>0</x:v>
      </x:c>
      <x:c r="O85" s="15" t="n">
        <x:v>0</x:v>
      </x:c>
      <x:c r="P85" s="15" t="n">
        <x:v>10</x:v>
      </x:c>
      <x:c r="Q85" s="15" t="n">
        <x:v>2</x:v>
      </x:c>
      <x:c r="R85" s="15" t="n">
        <x:f>SUM(M85:Q85)</x:f>
        <x:v>12</x:v>
      </x:c>
      <x:c r="S85" s="11" t="str">
        <x:f>IF(F85="Non","Hors cible",IF(R85&gt;=80,"Priorité 1",IF(R85&gt;=65,"Priorité 2",IF(R85&gt;=45,"Priorité 3","À valider"))))</x:f>
        <x:v>Hors cible</x:v>
      </x:c>
      <x:c r="T85" s="17" t="str">
        <x:v>Exclure sauf logement strictement lié à l'exploitation</x:v>
      </x:c>
      <x:c r="U85" s="17" t="str">
        <x:v>122-126 ; art. 9 p. 125</x:v>
      </x:c>
    </x:row>
    <x:row r="86" ht="48" customHeight="1">
      <x:c r="A86" s="16" t="n">
        <x:f>COUNTIFS($R$7:$R$90,"&gt;"&amp;R86)+COUNTIFS($R$7:R86,R86)</x:f>
        <x:v>80</x:v>
      </x:c>
      <x:c r="B86" s="16" t="str">
        <x:f>IF(ISNUMBER(G86),COUNTIFS($G$7:$G$90,"&gt;"&amp;G86)+COUNTIFS($G$7:G86,G86),"n.a.")</x:f>
        <x:v>n.a.</x:v>
      </x:c>
      <x:c r="C86" s="13" t="str">
        <x:v>UPa</x:v>
      </x:c>
      <x:c r="D86" s="13" t="str">
        <x:v>UP</x:v>
      </x:c>
      <x:c r="E86" s="13" t="str">
        <x:v>Urbaine portuaire</x:v>
      </x:c>
      <x:c r="F86" s="13" t="str">
        <x:v>Non</x:v>
      </x:c>
      <x:c r="G86" s="14"/>
      <x:c r="H86" s="17" t="str">
        <x:v>Emprise non réglementée</x:v>
      </x:c>
      <x:c r="I86" s="17" t="str">
        <x:v>Actif portuaire</x:v>
      </x:c>
      <x:c r="J86" s="17" t="str">
        <x:v>Équipements et activités portuaires</x:v>
      </x:c>
      <x:c r="K86" s="17" t="str">
        <x:v>25 m, ponctuellement 50 m</x:v>
      </x:c>
      <x:c r="L86" s="17" t="str">
        <x:v>Port + SPR partiel</x:v>
      </x:c>
      <x:c r="M86" s="15" t="n">
        <x:v>0</x:v>
      </x:c>
      <x:c r="N86" s="15" t="n">
        <x:v>0</x:v>
      </x:c>
      <x:c r="O86" s="15" t="n">
        <x:v>0</x:v>
      </x:c>
      <x:c r="P86" s="15" t="n">
        <x:v>10</x:v>
      </x:c>
      <x:c r="Q86" s="15" t="n">
        <x:v>2</x:v>
      </x:c>
      <x:c r="R86" s="15" t="n">
        <x:f>SUM(M86:Q86)</x:f>
        <x:v>12</x:v>
      </x:c>
      <x:c r="S86" s="11" t="str">
        <x:f>IF(F86="Non","Hors cible",IF(R86&gt;=80,"Priorité 1",IF(R86&gt;=65,"Priorité 2",IF(R86&gt;=45,"Priorité 3","À valider"))))</x:f>
        <x:v>Hors cible</x:v>
      </x:c>
      <x:c r="T86" s="17" t="str">
        <x:v>Exclure sauf logement strictement lié à l'exploitation</x:v>
      </x:c>
      <x:c r="U86" s="17" t="str">
        <x:v>122-126 ; art. 9 p. 125</x:v>
      </x:c>
    </x:row>
    <x:row r="87" ht="48" customHeight="1">
      <x:c r="A87" s="16" t="n">
        <x:f>COUNTIFS($R$7:$R$90,"&gt;"&amp;R87)+COUNTIFS($R$7:R87,R87)</x:f>
        <x:v>81</x:v>
      </x:c>
      <x:c r="B87" s="16" t="str">
        <x:f>IF(ISNUMBER(G87),COUNTIFS($G$7:$G$90,"&gt;"&amp;G87)+COUNTIFS($G$7:G87,G87),"n.a.")</x:f>
        <x:v>n.a.</x:v>
      </x:c>
      <x:c r="C87" s="13" t="str">
        <x:v>UPb</x:v>
      </x:c>
      <x:c r="D87" s="13" t="str">
        <x:v>UP</x:v>
      </x:c>
      <x:c r="E87" s="13" t="str">
        <x:v>Urbaine portuaire</x:v>
      </x:c>
      <x:c r="F87" s="13" t="str">
        <x:v>Non</x:v>
      </x:c>
      <x:c r="G87" s="14"/>
      <x:c r="H87" s="17" t="str">
        <x:v>Emprise non réglementée</x:v>
      </x:c>
      <x:c r="I87" s="17" t="str">
        <x:v>Actif portuaire</x:v>
      </x:c>
      <x:c r="J87" s="17" t="str">
        <x:v>Équipements et activités portuaires</x:v>
      </x:c>
      <x:c r="K87" s="17" t="str">
        <x:v>9 m</x:v>
      </x:c>
      <x:c r="L87" s="17" t="str">
        <x:v>Port + SPR</x:v>
      </x:c>
      <x:c r="M87" s="15" t="n">
        <x:v>0</x:v>
      </x:c>
      <x:c r="N87" s="15" t="n">
        <x:v>0</x:v>
      </x:c>
      <x:c r="O87" s="15" t="n">
        <x:v>0</x:v>
      </x:c>
      <x:c r="P87" s="15" t="n">
        <x:v>10</x:v>
      </x:c>
      <x:c r="Q87" s="15" t="n">
        <x:v>2</x:v>
      </x:c>
      <x:c r="R87" s="15" t="n">
        <x:f>SUM(M87:Q87)</x:f>
        <x:v>12</x:v>
      </x:c>
      <x:c r="S87" s="11" t="str">
        <x:f>IF(F87="Non","Hors cible",IF(R87&gt;=80,"Priorité 1",IF(R87&gt;=65,"Priorité 2",IF(R87&gt;=45,"Priorité 3","À valider"))))</x:f>
        <x:v>Hors cible</x:v>
      </x:c>
      <x:c r="T87" s="17" t="str">
        <x:v>Exclure sauf logement strictement lié à l'exploitation</x:v>
      </x:c>
      <x:c r="U87" s="17" t="str">
        <x:v>122-126 ; art. 9 p. 125</x:v>
      </x:c>
    </x:row>
    <x:row r="88" ht="48" customHeight="1">
      <x:c r="A88" s="16" t="n">
        <x:f>COUNTIFS($R$7:$R$90,"&gt;"&amp;R88)+COUNTIFS($R$7:R88,R88)</x:f>
        <x:v>82</x:v>
      </x:c>
      <x:c r="B88" s="16" t="str">
        <x:f>IF(ISNUMBER(G88),COUNTIFS($G$7:$G$90,"&gt;"&amp;G88)+COUNTIFS($G$7:G88,G88),"n.a.")</x:f>
        <x:v>n.a.</x:v>
      </x:c>
      <x:c r="C88" s="13" t="str">
        <x:v>UPc</x:v>
      </x:c>
      <x:c r="D88" s="13" t="str">
        <x:v>UP</x:v>
      </x:c>
      <x:c r="E88" s="13" t="str">
        <x:v>Urbaine portuaire</x:v>
      </x:c>
      <x:c r="F88" s="13" t="str">
        <x:v>Non</x:v>
      </x:c>
      <x:c r="G88" s="14"/>
      <x:c r="H88" s="17" t="str">
        <x:v>Emprise non réglementée</x:v>
      </x:c>
      <x:c r="I88" s="17" t="str">
        <x:v>Actif portuaire</x:v>
      </x:c>
      <x:c r="J88" s="17" t="str">
        <x:v>Équipements et activités portuaires</x:v>
      </x:c>
      <x:c r="K88" s="17" t="str">
        <x:v>4 m</x:v>
      </x:c>
      <x:c r="L88" s="17" t="str">
        <x:v>Port conchylicole</x:v>
      </x:c>
      <x:c r="M88" s="15" t="n">
        <x:v>0</x:v>
      </x:c>
      <x:c r="N88" s="15" t="n">
        <x:v>0</x:v>
      </x:c>
      <x:c r="O88" s="15" t="n">
        <x:v>0</x:v>
      </x:c>
      <x:c r="P88" s="15" t="n">
        <x:v>10</x:v>
      </x:c>
      <x:c r="Q88" s="15" t="n">
        <x:v>2</x:v>
      </x:c>
      <x:c r="R88" s="15" t="n">
        <x:f>SUM(M88:Q88)</x:f>
        <x:v>12</x:v>
      </x:c>
      <x:c r="S88" s="11" t="str">
        <x:f>IF(F88="Non","Hors cible",IF(R88&gt;=80,"Priorité 1",IF(R88&gt;=65,"Priorité 2",IF(R88&gt;=45,"Priorité 3","À valider"))))</x:f>
        <x:v>Hors cible</x:v>
      </x:c>
      <x:c r="T88" s="17" t="str">
        <x:v>Exclure sauf logement strictement lié à l'exploitation</x:v>
      </x:c>
      <x:c r="U88" s="17" t="str">
        <x:v>122-126 ; art. 9 p. 125</x:v>
      </x:c>
    </x:row>
    <x:row r="89" ht="48" customHeight="1">
      <x:c r="A89" s="16" t="n">
        <x:f>COUNTIFS($R$7:$R$90,"&gt;"&amp;R89)+COUNTIFS($R$7:R89,R89)</x:f>
        <x:v>83</x:v>
      </x:c>
      <x:c r="B89" s="16" t="str">
        <x:f>IF(ISNUMBER(G89),COUNTIFS($G$7:$G$90,"&gt;"&amp;G89)+COUNTIFS($G$7:G89,G89),"n.a.")</x:f>
        <x:v>n.a.</x:v>
      </x:c>
      <x:c r="C89" s="13" t="str">
        <x:v>UV3a</x:v>
      </x:c>
      <x:c r="D89" s="13" t="str">
        <x:v>UV</x:v>
      </x:c>
      <x:c r="E89" s="13" t="str">
        <x:v>Urbaine</x:v>
      </x:c>
      <x:c r="F89" s="13" t="str">
        <x:v>Non</x:v>
      </x:c>
      <x:c r="G89" s="14"/>
      <x:c r="H89" s="17" t="str">
        <x:v>Absent de l'article 9 ; article 1 : seules piscines et annexes, emprise limitée à 20 m²</x:v>
      </x:c>
      <x:c r="I89" s="17" t="str">
        <x:v>Annexe seulement</x:v>
      </x:c>
      <x:c r="J89" s="17" t="str">
        <x:v>Sous-secteur très contraint</x:v>
      </x:c>
      <x:c r="K89" s="17" t="str">
        <x:v>3 m NGF</x:v>
      </x:c>
      <x:c r="L89" s="17" t="str">
        <x:v>Construction principale interdite</x:v>
      </x:c>
      <x:c r="M89" s="15" t="n">
        <x:v>0</x:v>
      </x:c>
      <x:c r="N89" s="15" t="n">
        <x:v>0</x:v>
      </x:c>
      <x:c r="O89" s="15" t="n">
        <x:v>0</x:v>
      </x:c>
      <x:c r="P89" s="15" t="n">
        <x:v>2</x:v>
      </x:c>
      <x:c r="Q89" s="15" t="n">
        <x:v>3</x:v>
      </x:c>
      <x:c r="R89" s="15" t="n">
        <x:f>SUM(M89:Q89)</x:f>
        <x:v>5</x:v>
      </x:c>
      <x:c r="S89" s="11" t="str">
        <x:f>IF(F89="Non","Hors cible",IF(R89&gt;=80,"Priorité 1",IF(R89&gt;=65,"Priorité 2",IF(R89&gt;=45,"Priorité 3","À valider"))))</x:f>
        <x:v>Hors cible</x:v>
      </x:c>
      <x:c r="T89" s="17" t="str">
        <x:v>Exclure de la prospection de création de logement</x:v>
      </x:c>
      <x:c r="U89" s="17" t="str">
        <x:v>102, 107</x:v>
      </x:c>
    </x:row>
    <x:row r="90" ht="48" customHeight="1">
      <x:c r="A90" s="16" t="n">
        <x:f>COUNTIFS($R$7:$R$90,"&gt;"&amp;R90)+COUNTIFS($R$7:R90,R90)</x:f>
        <x:v>84</x:v>
      </x:c>
      <x:c r="B90" s="16" t="str">
        <x:f>IF(ISNUMBER(G90),COUNTIFS($G$7:$G$90,"&gt;"&amp;G90)+COUNTIFS($G$7:G90,G90),"n.a.")</x:f>
        <x:v>n.a.</x:v>
      </x:c>
      <x:c r="C90" s="13" t="str">
        <x:v>3UB5</x:v>
      </x:c>
      <x:c r="D90" s="13" t="str">
        <x:v>3UB</x:v>
      </x:c>
      <x:c r="E90" s="13" t="str">
        <x:v>Urbaine</x:v>
      </x:c>
      <x:c r="F90" s="13" t="str">
        <x:v>Non</x:v>
      </x:c>
      <x:c r="G90" s="14"/>
      <x:c r="H90" s="17" t="str">
        <x:v>Secteur absent de l'article 9</x:v>
      </x:c>
      <x:c r="I90" s="17" t="str">
        <x:v>Équipement spécifique</x:v>
      </x:c>
      <x:c r="J90" s="17" t="str">
        <x:v>Aire d'accueil des gens du voyage</x:v>
      </x:c>
      <x:c r="K90" s="17" t="str">
        <x:v>Règles spécifiques</x:v>
      </x:c>
      <x:c r="L90" s="17" t="str">
        <x:v>SPR ; destination strictement spécialisée</x:v>
      </x:c>
      <x:c r="M90" s="15" t="n">
        <x:v>0</x:v>
      </x:c>
      <x:c r="N90" s="15" t="n">
        <x:v>0</x:v>
      </x:c>
      <x:c r="O90" s="15" t="n">
        <x:v>0</x:v>
      </x:c>
      <x:c r="P90" s="15" t="n">
        <x:v>2</x:v>
      </x:c>
      <x:c r="Q90" s="15" t="n">
        <x:v>2</x:v>
      </x:c>
      <x:c r="R90" s="15" t="n">
        <x:f>SUM(M90:Q90)</x:f>
        <x:v>4</x:v>
      </x:c>
      <x:c r="S90" s="11" t="str">
        <x:f>IF(F90="Non","Hors cible",IF(R90&gt;=80,"Priorité 1",IF(R90&gt;=65,"Priorité 2",IF(R90&gt;=45,"Priorité 3","À valider"))))</x:f>
        <x:v>Hors cible</x:v>
      </x:c>
      <x:c r="T90" s="17" t="str">
        <x:v>Exclure de la prospection résidentielle standard</x:v>
      </x:c>
      <x:c r="U90" s="17" t="str">
        <x:v>64, 70-71</x:v>
      </x:c>
    </x:row>
  </x:sheetData>
  <x:conditionalFormatting sqref="R7:R90">
    <x:cfRule type="colorScale" priority="1">
      <x:colorScale>
        <x:cfvo type="min"/>
        <x:cfvo type="percentile" val="50"/>
        <x:cfvo type="max"/>
        <x:color rgb="FFF8696B"/>
        <x:color rgb="FFFFEB84"/>
        <x:color rgb="FF63BE7B"/>
      </x:colorScale>
    </x:cfRule>
  </x:conditionalFormatting>
  <x:conditionalFormatting sqref="G7:G90">
    <x:cfRule type="dataBar" priority="2">
      <x:dataBar>
        <x:cfvo type="min"/>
        <x:cfvo type="max"/>
        <x:color rgb="FF5B9BD5"/>
      </x:dataBar>
      <x:extLst>
        <x:ext xmlns:x14="http://schemas.microsoft.com/office/spreadsheetml/2009/9/main" uri="{B025F937-C7B1-47D3-B67F-A62EFF666E3E}">
          <x14:id>{4EF161D7-9223-B00D-6275-611CCCCF4372}</x14:id>
        </x:ext>
      </x:extLst>
    </x:cfRule>
  </x:conditionalFormatting>
  <x:conditionalFormatting sqref="S7:S90">
    <x:cfRule type="containsText" dxfId="0" priority="3" operator="containsText" text="Priorité 1"/>
    <x:cfRule type="containsText" dxfId="1" priority="4" operator="containsText" text="Hors cible"/>
  </x:conditionalFormatting>
  <x:conditionalFormatting sqref="F7:F90">
    <x:cfRule type="containsText" dxfId="2" priority="5" operator="containsText" text="Non"/>
  </x:conditionalFormatting>
  <x:pageMargins left="0.7" right="0.7" top="0.75" bottom="0.75" header="0.3" footer="0.3"/>
  <x:tableParts count="1">
    <x:tablePart xmlns:r="http://schemas.openxmlformats.org/officeDocument/2006/relationships" r:id="R0ee34b165ba84aea"/>
  </x:tableParts>
  <x:extLst>
    <x:ext xmlns:x14="http://schemas.microsoft.com/office/spreadsheetml/2009/9/main" xmlns:xm="http://schemas.microsoft.com/office/excel/2006/main" uri="{78C0D931-6437-407d-A8EE-F0AAD7539E65}">
      <x14:conditionalFormattings>
        <x14:conditionalFormatting>
          <x14:cfRule type="dataBar" priority="2" id="{4EF161D7-9223-B00D-6275-611CCCCF4372}">
            <x14:dataBar gradient="1">
              <x14:cfvo type="min"/>
              <x14:cfvo type="max"/>
              <x14:fillColor rgb="FF5B9BD5"/>
            </x14:dataBar>
          </x14:cfRule>
          <xm:sqref>G7:G90</xm:sqref>
        </x14:conditionalFormatting>
      </x14:conditionalFormattings>
    </x:ext>
  </x:extLst>
</x:worksheet>
</file>

<file path=xl/worksheets/sheet2.xml><?xml version="1.0" encoding="utf-8"?>
<x:worksheet xmlns:x="http://schemas.openxmlformats.org/spreadsheetml/2006/main">
  <x:sheetPr>
    <x:tabColor rgb="FF5B9BD5"/>
  </x:sheetPr>
  <x:sheetViews>
    <x:sheetView showGridLines="0" workbookViewId="0"/>
  </x:sheetViews>
  <x:sheetFormatPr defaultRowHeight="15"/>
  <x:cols>
    <x:col min="1" max="1" width="30" hidden="0" customWidth="1"/>
    <x:col min="2" max="2" width="77"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2">
      <x:c r="A2" s="2" t="str">
        <x:v>Méthode de classement et contrôles de prospection</x:v>
      </x:c>
      <x:c r="B2" s="1"/>
      <x:c r="C2" s="1"/>
      <x:c r="D2" s="1"/>
      <x:c r="E2" s="1"/>
      <x:c r="F2" s="1"/>
      <x:c r="G2" s="1"/>
      <x:c r="H2" s="1"/>
    </x:row>
    <x:row r="4">
      <x:c r="A4" s="19" t="str">
        <x:v>Critère</x:v>
      </x:c>
      <x:c r="B4" s="19" t="str">
        <x:v>Pondération maximale</x:v>
      </x:c>
      <x:c r="C4" s="37"/>
      <x:c r="D4" s="19" t="str">
        <x:v>Lecture</x:v>
      </x:c>
      <x:c r="E4" s="19" t="str">
        <x:v>Définition</x:v>
      </x:c>
      <x:c r="F4" s="19"/>
      <x:c r="G4" s="19"/>
      <x:c r="H4" s="19"/>
    </x:row>
    <x:row r="5">
      <x:c r="A5" s="5" t="str">
        <x:v>Constructibilité résidentielle</x:v>
      </x:c>
      <x:c r="B5" s="20" t="n">
        <x:v>30</x:v>
      </x:c>
      <x:c r="C5" s="5"/>
      <x:c r="D5" s="5" t="str">
        <x:v>Priorité 1</x:v>
      </x:c>
      <x:c r="E5" s="5" t="str">
        <x:v>Score ≥ 80 et habitation standard admise</x:v>
      </x:c>
      <x:c r="F5" s="5"/>
      <x:c r="G5" s="5"/>
      <x:c r="H5" s="5"/>
    </x:row>
    <x:row r="6">
      <x:c r="A6" s="5" t="str">
        <x:v>Emprise au sol</x:v>
      </x:c>
      <x:c r="B6" s="20" t="n">
        <x:v>35</x:v>
      </x:c>
      <x:c r="C6" s="5"/>
      <x:c r="D6" s="5" t="str">
        <x:v>Priorité 2</x:v>
      </x:c>
      <x:c r="E6" s="5" t="str">
        <x:v>Score de 65 à 79,9</x:v>
      </x:c>
      <x:c r="F6" s="5"/>
      <x:c r="G6" s="5"/>
      <x:c r="H6" s="5"/>
    </x:row>
    <x:row r="7">
      <x:c r="A7" s="5" t="str">
        <x:v>Transformabilité foncière ou bâtie</x:v>
      </x:c>
      <x:c r="B7" s="20" t="n">
        <x:v>15</x:v>
      </x:c>
      <x:c r="C7" s="5"/>
      <x:c r="D7" s="5" t="str">
        <x:v>Priorité 3</x:v>
      </x:c>
      <x:c r="E7" s="5" t="str">
        <x:v>Score de 45 à 64,9</x:v>
      </x:c>
      <x:c r="F7" s="5"/>
      <x:c r="G7" s="5"/>
      <x:c r="H7" s="5"/>
    </x:row>
    <x:row r="8">
      <x:c r="A8" s="5" t="str">
        <x:v>Clarté de la règle</x:v>
      </x:c>
      <x:c r="B8" s="20" t="n">
        <x:v>10</x:v>
      </x:c>
      <x:c r="C8" s="5"/>
      <x:c r="D8" s="5" t="str">
        <x:v>À valider</x:v>
      </x:c>
      <x:c r="E8" s="5" t="str">
        <x:v>Score inférieur à 45 mais habitation non formellement exclue</x:v>
      </x:c>
      <x:c r="F8" s="5"/>
      <x:c r="G8" s="5"/>
      <x:c r="H8" s="5"/>
    </x:row>
    <x:row r="9">
      <x:c r="A9" s="5" t="str">
        <x:v>Faible niveau de contraintes repérées</x:v>
      </x:c>
      <x:c r="B9" s="20" t="n">
        <x:v>10</x:v>
      </x:c>
      <x:c r="C9" s="5"/>
      <x:c r="D9" s="5" t="str">
        <x:v>Hors cible</x:v>
      </x:c>
      <x:c r="E9" s="5" t="str">
        <x:v>Habitation standard interdite ou destination spécialisée</x:v>
      </x:c>
      <x:c r="F9" s="5"/>
      <x:c r="G9" s="5"/>
      <x:c r="H9" s="5"/>
    </x:row>
    <x:row r="10">
      <x:c r="A10" s="37"/>
      <x:c r="B10" s="37"/>
      <x:c r="C10" s="37"/>
      <x:c r="D10" s="37"/>
      <x:c r="E10" s="37"/>
      <x:c r="F10" s="37"/>
      <x:c r="G10" s="37"/>
      <x:c r="H10" s="37"/>
    </x:row>
    <x:row r="11">
      <x:c r="A11" s="37"/>
      <x:c r="B11" s="37"/>
      <x:c r="C11" s="37"/>
      <x:c r="D11" s="37"/>
      <x:c r="E11" s="37"/>
      <x:c r="F11" s="37"/>
      <x:c r="G11" s="37"/>
      <x:c r="H11" s="37"/>
    </x:row>
    <x:row r="12">
      <x:c r="A12" s="23" t="str">
        <x:v>Contrôles à effectuer avant toute valorisation d'une parcelle</x:v>
      </x:c>
      <x:c r="B12" s="24"/>
      <x:c r="C12" s="24"/>
      <x:c r="D12" s="24"/>
      <x:c r="E12" s="24"/>
      <x:c r="F12" s="24"/>
      <x:c r="G12" s="24"/>
      <x:c r="H12" s="25"/>
    </x:row>
    <x:row r="13" ht="34" customHeight="1">
      <x:c r="A13" s="39" t="n">
        <x:v>1</x:v>
      </x:c>
      <x:c r="B13" s="40" t="str">
        <x:v>Identifier le zonage et le sous-secteur exacts sur le PLU graphique.</x:v>
      </x:c>
      <x:c r="C13" s="37"/>
      <x:c r="D13" s="37"/>
      <x:c r="E13" s="37"/>
      <x:c r="F13" s="37"/>
      <x:c r="G13" s="37"/>
      <x:c r="H13" s="37"/>
    </x:row>
    <x:row r="14" ht="34" customHeight="1">
      <x:c r="A14" s="39" t="n">
        <x:v>2</x:v>
      </x:c>
      <x:c r="B14" s="40" t="str">
        <x:v>Superposer PPRI, SPR, EVP, EBC, emplacements réservés, OAP et plans de masse.</x:v>
      </x:c>
      <x:c r="C14" s="37"/>
      <x:c r="D14" s="37"/>
      <x:c r="E14" s="37"/>
      <x:c r="F14" s="37"/>
      <x:c r="G14" s="37"/>
      <x:c r="H14" s="37"/>
    </x:row>
    <x:row r="15" ht="34" customHeight="1">
      <x:c r="A15" s="39" t="n">
        <x:v>3</x:v>
      </x:c>
      <x:c r="B15" s="40" t="str">
        <x:v>Vérifier les destinations autorisées aux articles 1 et 2.</x:v>
      </x:c>
      <x:c r="C15" s="37"/>
      <x:c r="D15" s="37"/>
      <x:c r="E15" s="37"/>
      <x:c r="F15" s="37"/>
      <x:c r="G15" s="37"/>
      <x:c r="H15" s="37"/>
    </x:row>
    <x:row r="16" ht="34" customHeight="1">
      <x:c r="A16" s="39" t="n">
        <x:v>4</x:v>
      </x:c>
      <x:c r="B16" s="40" t="str">
        <x:v>Calculer l'enveloppe avec les articles 6, 7, 8, 9, 10 et 13.</x:v>
      </x:c>
      <x:c r="C16" s="37"/>
      <x:c r="D16" s="37"/>
      <x:c r="E16" s="37"/>
      <x:c r="F16" s="37"/>
      <x:c r="G16" s="37"/>
      <x:c r="H16" s="37"/>
    </x:row>
    <x:row r="17" ht="34" customHeight="1">
      <x:c r="A17" s="39" t="n">
        <x:v>5</x:v>
      </x:c>
      <x:c r="B17" s="40" t="str">
        <x:v>Tester accès, défense incendie, réseaux et stationnement.</x:v>
      </x:c>
      <x:c r="C17" s="37"/>
      <x:c r="D17" s="37"/>
      <x:c r="E17" s="37"/>
      <x:c r="F17" s="37"/>
      <x:c r="G17" s="37"/>
      <x:c r="H17" s="37"/>
    </x:row>
    <x:row r="18" ht="34" customHeight="1">
      <x:c r="A18" s="39" t="n">
        <x:v>6</x:v>
      </x:c>
      <x:c r="B18" s="40" t="str">
        <x:v>Contrôler servitudes, copropriété, division, état du bâti et pollution éventuelle.</x:v>
      </x:c>
      <x:c r="C18" s="37"/>
      <x:c r="D18" s="37"/>
      <x:c r="E18" s="37"/>
      <x:c r="F18" s="37"/>
      <x:c r="G18" s="37"/>
      <x:c r="H18" s="37"/>
    </x:row>
    <x:row r="19" ht="34" customHeight="1">
      <x:c r="A19" s="39" t="n">
        <x:v>7</x:v>
      </x:c>
      <x:c r="B19" s="40" t="str">
        <x:v>Sécuriser par certificat d'urbanisme opérationnel ou échange écrit avec l'urbanisme.</x:v>
      </x:c>
      <x:c r="C19" s="37"/>
      <x:c r="D19" s="37"/>
      <x:c r="E19" s="37"/>
      <x:c r="F19" s="37"/>
      <x:c r="G19" s="37"/>
      <x:c r="H19" s="37"/>
    </x:row>
    <x:row r="20">
      <x:c r="A20" s="37"/>
      <x:c r="B20" s="37"/>
      <x:c r="C20" s="37"/>
      <x:c r="D20" s="37"/>
      <x:c r="E20" s="37"/>
      <x:c r="F20" s="37"/>
      <x:c r="G20" s="37"/>
      <x:c r="H20" s="37"/>
    </x:row>
    <x:row r="21">
      <x:c r="A21" s="37"/>
      <x:c r="B21" s="37"/>
      <x:c r="C21" s="37"/>
      <x:c r="D21" s="37"/>
      <x:c r="E21" s="37"/>
      <x:c r="F21" s="37"/>
      <x:c r="G21" s="37"/>
      <x:c r="H21" s="37"/>
    </x:row>
    <x:row r="22">
      <x:c r="A22" s="28" t="str">
        <x:v>Anomalies et règles non automatisables</x:v>
      </x:c>
      <x:c r="B22" s="29"/>
      <x:c r="C22" s="29"/>
      <x:c r="D22" s="29"/>
      <x:c r="E22" s="29"/>
      <x:c r="F22" s="29"/>
      <x:c r="G22" s="29"/>
      <x:c r="H22" s="30"/>
    </x:row>
    <x:row r="23" ht="45" customHeight="1">
      <x:c r="A23" s="40" t="str">
        <x:v>3UB9 / 3UB9v</x:v>
      </x:c>
      <x:c r="B23" s="40" t="str">
        <x:v>L'article 9 imprime 3UB9 à 50 %, puis 3UB9 à 10 %. La seconde mention semble viser 3UB9v, sans valeur opposable certaine.</x:v>
      </x:c>
      <x:c r="C23" s="37"/>
      <x:c r="D23" s="37"/>
      <x:c r="E23" s="37"/>
      <x:c r="F23" s="37"/>
      <x:c r="G23" s="37"/>
      <x:c r="H23" s="37"/>
    </x:row>
    <x:row r="24" ht="45" customHeight="1">
      <x:c r="A24" s="40" t="str">
        <x:v>UA4v</x:v>
      </x:c>
      <x:c r="B24" s="40" t="str">
        <x:v>Sous-secteur présent dans le préambule, mais sans coefficient propre à l'article 9.</x:v>
      </x:c>
      <x:c r="C24" s="37"/>
      <x:c r="D24" s="37"/>
      <x:c r="E24" s="37"/>
      <x:c r="F24" s="37"/>
      <x:c r="G24" s="37"/>
      <x:c r="H24" s="37"/>
    </x:row>
    <x:row r="25" ht="45" customHeight="1">
      <x:c r="A25" s="40" t="str">
        <x:v>3UB5</x:v>
      </x:c>
      <x:c r="B25" s="40" t="str">
        <x:v>Secteur spécialisé pour l'accueil des gens du voyage et absent de l'article 9.</x:v>
      </x:c>
      <x:c r="C25" s="37"/>
      <x:c r="D25" s="37"/>
      <x:c r="E25" s="37"/>
      <x:c r="F25" s="37"/>
      <x:c r="G25" s="37"/>
      <x:c r="H25" s="37"/>
    </x:row>
    <x:row r="26" ht="45" customHeight="1">
      <x:c r="A26" s="40" t="str">
        <x:v>UC5a</x:v>
      </x:c>
      <x:c r="B26" s="40" t="str">
        <x:v>Mentionné aux articles 10 et 13, mais absent du préambule et de l'article 9.</x:v>
      </x:c>
      <x:c r="C26" s="37"/>
      <x:c r="D26" s="37"/>
      <x:c r="E26" s="37"/>
      <x:c r="F26" s="37"/>
      <x:c r="G26" s="37"/>
      <x:c r="H26" s="37"/>
    </x:row>
    <x:row r="27" ht="45" customHeight="1">
      <x:c r="A27" s="40" t="str">
        <x:v>UV3a</x:v>
      </x:c>
      <x:c r="B27" s="40" t="str">
        <x:v>Absent de l'article 9 ; l'article 1 limite les constructions aux piscines et annexes de 20 m².</x:v>
      </x:c>
      <x:c r="C27" s="37"/>
      <x:c r="D27" s="37"/>
      <x:c r="E27" s="37"/>
      <x:c r="F27" s="37"/>
      <x:c r="G27" s="37"/>
      <x:c r="H27" s="37"/>
    </x:row>
    <x:row r="28" ht="45" customHeight="1">
      <x:c r="A28" s="40" t="str">
        <x:v>UV4</x:v>
      </x:c>
      <x:c r="B28" s="40" t="str">
        <x:v>L'emprise dépend des documents graphiques de la ZAC Ouest.</x:v>
      </x:c>
      <x:c r="C28" s="37"/>
      <x:c r="D28" s="37"/>
      <x:c r="E28" s="37"/>
      <x:c r="F28" s="37"/>
      <x:c r="G28" s="37"/>
      <x:c r="H28" s="37"/>
    </x:row>
    <x:row r="29" ht="45" customHeight="1">
      <x:c r="A29" s="40" t="str">
        <x:v>2UB</x:v>
      </x:c>
      <x:c r="B29" s="40" t="str">
        <x:v>Article 9 non réglementé, mais plans d'aménagement et épannelages de ZAC opposables.</x:v>
      </x:c>
      <x:c r="C29" s="37"/>
      <x:c r="D29" s="37"/>
      <x:c r="E29" s="37"/>
      <x:c r="F29" s="37"/>
      <x:c r="G29" s="37"/>
      <x:c r="H29" s="37"/>
    </x:row>
    <x:row r="30">
      <x:c r="A30" s="37"/>
      <x:c r="B30" s="37"/>
      <x:c r="C30" s="37"/>
      <x:c r="D30" s="37"/>
      <x:c r="E30" s="37"/>
      <x:c r="F30" s="37"/>
      <x:c r="G30" s="37"/>
      <x:c r="H30" s="37"/>
    </x:row>
    <x:row r="31">
      <x:c r="A31" s="37"/>
      <x:c r="B31" s="37"/>
      <x:c r="C31" s="37"/>
      <x:c r="D31" s="37"/>
      <x:c r="E31" s="37"/>
      <x:c r="F31" s="37"/>
      <x:c r="G31" s="37"/>
      <x:c r="H31" s="37"/>
    </x:row>
    <x:row r="32">
      <x:c r="A32" s="33" t="str">
        <x:v>Segments de prospection</x:v>
      </x:c>
      <x:c r="B32" s="34"/>
      <x:c r="C32" s="34"/>
      <x:c r="D32" s="34"/>
      <x:c r="E32" s="34"/>
      <x:c r="F32" s="34"/>
      <x:c r="G32" s="34"/>
      <x:c r="H32" s="35"/>
    </x:row>
    <x:row r="33" ht="45" customHeight="1">
      <x:c r="A33" s="40" t="str">
        <x:v>Densification forte</x:v>
      </x:c>
      <x:c r="B33" s="40" t="str">
        <x:v>3UB7, UC3, UC4d, 3UB2/3, UA5 et 1UB1/2, sous réserve des contraintes de forme et de patrimoine.</x:v>
      </x:c>
      <x:c r="C33" s="37"/>
      <x:c r="D33" s="37"/>
      <x:c r="E33" s="37"/>
      <x:c r="F33" s="37"/>
      <x:c r="G33" s="37"/>
      <x:c r="H33" s="37"/>
    </x:row>
    <x:row r="34" ht="45" customHeight="1">
      <x:c r="A34" s="40" t="str">
        <x:v>Maisons et divisions parcellaires</x:v>
      </x:c>
      <x:c r="B34" s="40" t="str">
        <x:v>UD4, UC4a/4b, UV2/UV3, UD3 puis UD2. L'accès et la pleine terre peuvent devenir plus limitants que l'emprise.</x:v>
      </x:c>
      <x:c r="C34" s="37"/>
      <x:c r="D34" s="37"/>
      <x:c r="E34" s="37"/>
      <x:c r="F34" s="37"/>
      <x:c r="G34" s="37"/>
      <x:c r="H34" s="37"/>
    </x:row>
    <x:row r="35" ht="45" customHeight="1">
      <x:c r="A35" s="40" t="str">
        <x:v>Réhabilitation / division bâtie</x:v>
      </x:c>
      <x:c r="B35" s="40" t="str">
        <x:v>UA et 1UB : potentiel élevé dans le bâti existant, mais SPR, stationnement et structure du bâtiment sont déterminants.</x:v>
      </x:c>
      <x:c r="C35" s="37"/>
      <x:c r="D35" s="37"/>
      <x:c r="E35" s="37"/>
      <x:c r="F35" s="37"/>
      <x:c r="G35" s="37"/>
      <x:c r="H35" s="37"/>
    </x:row>
    <x:row r="36" ht="45" customHeight="1">
      <x:c r="A36" s="40" t="str">
        <x:v>À exclure par défaut</x:v>
      </x:c>
      <x:c r="B36" s="40" t="str">
        <x:v>UE, UP, AU0, AUE0, A, N, 3UB5 et UV3a pour une opération résidentielle ordinaire.</x:v>
      </x:c>
      <x:c r="C36" s="37"/>
      <x:c r="D36" s="37"/>
      <x:c r="E36" s="37"/>
      <x:c r="F36" s="37"/>
      <x:c r="G36" s="37"/>
      <x:c r="H36" s="37"/>
    </x:row>
    <x:row r="37">
      <x:c r="A37" s="37"/>
      <x:c r="B37" s="37"/>
      <x:c r="C37" s="37"/>
      <x:c r="D37" s="37"/>
      <x:c r="E37" s="37"/>
      <x:c r="F37" s="37"/>
      <x:c r="G37" s="37"/>
      <x:c r="H37" s="37"/>
    </x:row>
    <x:row r="38">
      <x:c r="A38" s="37"/>
      <x:c r="B38" s="37"/>
      <x:c r="C38" s="37"/>
      <x:c r="D38" s="37"/>
      <x:c r="E38" s="37"/>
      <x:c r="F38" s="37"/>
      <x:c r="G38" s="37"/>
      <x:c r="H38" s="37"/>
    </x:row>
    <x:row r="39">
      <x:c r="A39" s="36" t="str">
        <x:v>Définition de l'emprise au sol</x:v>
      </x:c>
      <x:c r="B39" s="37"/>
      <x:c r="C39" s="37"/>
      <x:c r="D39" s="37"/>
      <x:c r="E39" s="37"/>
      <x:c r="F39" s="37"/>
      <x:c r="G39" s="37"/>
      <x:c r="H39" s="37"/>
    </x:row>
    <x:row r="40" ht="55" customHeight="1">
      <x:c r="A40" s="40" t="str">
        <x:v>Règle</x:v>
      </x:c>
      <x:c r="B40" s="40" t="str">
        <x:v>Projection verticale du volume de la construction, débords et surplombs inclus. Les bassins, murs et margelles de piscines sont comptés. Les terrasses de moins de 60 cm par rapport au sol naturel ne sont pas comptées.</x:v>
      </x:c>
      <x:c r="C40" s="37"/>
      <x:c r="D40" s="37"/>
      <x:c r="E40" s="37"/>
      <x:c r="F40" s="37"/>
      <x:c r="G40" s="37"/>
      <x:c r="H40" s="37"/>
    </x:row>
    <x:row r="41" ht="22" customHeight="1">
      <x:c r="A41" s="41" t="str">
        <x:v>Source</x:v>
      </x:c>
      <x:c r="B41" s="41" t="str">
        <x:v>Lexique du règlement, page 145.</x:v>
      </x:c>
      <x:c r="C41" s="37"/>
      <x:c r="D41" s="37"/>
      <x:c r="E41" s="37"/>
      <x:c r="F41" s="37"/>
      <x:c r="G41" s="37"/>
      <x:c r="H41" s="37"/>
    </x:row>
  </x:sheetData>
  <x:pageMargins left="0.7" right="0.7" top="0.75" bottom="0.75" header="0.3" footer="0.3"/>
</x:worksheet>
</file>